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33ECDFA6-7231-4803-A587-55321C4B70D1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Goal Options" sheetId="31" r:id="rId1"/>
  </sheets>
  <functionGroups builtInGroupCount="19"/>
  <definedNames>
    <definedName name="_xleta.DATEVALUE" hidden="1" xlm="1">#NAME?</definedName>
    <definedName name="_xleta.FV" hidden="1" xlm="1">#NAME?</definedName>
    <definedName name="_xleta.IF" hidden="1" xlm="1">#NAME?</definedName>
    <definedName name="_xleta.MONTH" hidden="1" xlm="1">#NAME?</definedName>
    <definedName name="_xleta.OFFSET" hidden="1" xlm="1">#NAME?</definedName>
    <definedName name="_xleta.QUOTIENT" hidden="1" xlm="1">#NAME?</definedName>
    <definedName name="_xleta.TODAY" hidden="1" xlm="1">#NAME?</definedName>
    <definedName name="CapGainTax">'Goal Options'!$C$7</definedName>
    <definedName name="GoalAmt" localSheetId="0">'Goal Options'!$C$4</definedName>
    <definedName name="GoalChart">OFFSET('Goal Options'!$S$2,0,1,1,'Goal Options'!$AB$1)</definedName>
    <definedName name="GoalChartLbl">OFFSET('Goal Options'!$S$1,0,1,1,'Goal Options'!$AB$1)</definedName>
    <definedName name="GoalYears" localSheetId="0">'Goal Options'!$C$5</definedName>
    <definedName name="GRate" localSheetId="0">'Goal Options'!$C$6</definedName>
    <definedName name="SIPAmount" localSheetId="0">'Goal Options'!$U$6</definedName>
    <definedName name="SIPGoal" localSheetId="0">'Goal Options'!$O$4</definedName>
    <definedName name="SIPInvestmentGraphWB">OFFSET(#REF!,0,0,#REF!,1)</definedName>
    <definedName name="SIPRate">'Goal Options'!$O$3</definedName>
    <definedName name="TotalInv" localSheetId="0">'Goal Options'!$C$23</definedName>
    <definedName name="TotalLumpsum" localSheetId="0">'Goal Options'!$C$20</definedName>
    <definedName name="TotalSIP" localSheetId="0">'Goal Options'!$C$22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1" l="1"/>
  <c r="J8" i="31" l="1"/>
  <c r="O2" i="31" l="1"/>
  <c r="J2" i="31"/>
  <c r="K2" i="31" s="1"/>
  <c r="J1" i="31"/>
  <c r="K1" i="31" l="1"/>
  <c r="J4" i="31" s="1"/>
  <c r="J14" i="31"/>
  <c r="P2" i="31"/>
  <c r="C26" i="31"/>
  <c r="Y3" i="31"/>
  <c r="Y1" i="31"/>
  <c r="X1" i="31"/>
  <c r="X3" i="31"/>
  <c r="W3" i="31"/>
  <c r="W1" i="31"/>
  <c r="V3" i="31"/>
  <c r="V1" i="31"/>
  <c r="T1" i="31"/>
  <c r="U1" i="31"/>
  <c r="U3" i="31"/>
  <c r="T3" i="31"/>
  <c r="V11" i="31"/>
  <c r="C20" i="31"/>
  <c r="C21" i="31"/>
  <c r="J3" i="31"/>
  <c r="O1" i="31"/>
  <c r="P1" i="31" l="1"/>
  <c r="C25" i="31"/>
  <c r="D25" i="31" s="1"/>
  <c r="D26" i="31"/>
  <c r="W11" i="31"/>
  <c r="T11" i="31"/>
  <c r="U11" i="31" s="1"/>
  <c r="O4" i="31" l="1"/>
  <c r="O3" i="31"/>
  <c r="O8" i="31" l="1"/>
  <c r="O5" i="31" s="1"/>
  <c r="C16" i="31" s="1"/>
  <c r="N428" i="31" l="1"/>
  <c r="N395" i="31"/>
  <c r="N600" i="31"/>
  <c r="N442" i="31"/>
  <c r="N435" i="31"/>
  <c r="N573" i="31"/>
  <c r="N523" i="31"/>
  <c r="N454" i="31"/>
  <c r="N380" i="31"/>
  <c r="N311" i="31"/>
  <c r="N308" i="31"/>
  <c r="N465" i="31"/>
  <c r="N296" i="31"/>
  <c r="N453" i="31"/>
  <c r="N392" i="31"/>
  <c r="N575" i="31"/>
  <c r="N456" i="31"/>
  <c r="N367" i="31"/>
  <c r="N552" i="31"/>
  <c r="N416" i="31"/>
  <c r="N597" i="31"/>
  <c r="N447" i="31"/>
  <c r="N291" i="31"/>
  <c r="N481" i="31"/>
  <c r="N513" i="31"/>
  <c r="N556" i="31"/>
  <c r="N412" i="31"/>
  <c r="N512" i="31"/>
  <c r="N546" i="31"/>
  <c r="N415" i="31"/>
  <c r="N527" i="31"/>
  <c r="N474" i="31"/>
  <c r="N500" i="31"/>
  <c r="N564" i="31"/>
  <c r="N326" i="31"/>
  <c r="N537" i="31"/>
  <c r="N371" i="31"/>
  <c r="N363" i="31"/>
  <c r="N528" i="31"/>
  <c r="N489" i="31"/>
  <c r="N420" i="31"/>
  <c r="N346" i="31"/>
  <c r="N590" i="31"/>
  <c r="N321" i="31"/>
  <c r="N478" i="31"/>
  <c r="N309" i="31"/>
  <c r="N466" i="31"/>
  <c r="N407" i="31"/>
  <c r="N589" i="31"/>
  <c r="N471" i="31"/>
  <c r="N382" i="31"/>
  <c r="N566" i="31"/>
  <c r="N431" i="31"/>
  <c r="N611" i="31"/>
  <c r="N463" i="31"/>
  <c r="N307" i="31"/>
  <c r="N497" i="31"/>
  <c r="N482" i="31"/>
  <c r="N544" i="31"/>
  <c r="N400" i="31"/>
  <c r="N333" i="31"/>
  <c r="N607" i="31"/>
  <c r="N458" i="31"/>
  <c r="N300" i="31"/>
  <c r="N586" i="31"/>
  <c r="N467" i="31"/>
  <c r="N457" i="31"/>
  <c r="N381" i="31"/>
  <c r="N312" i="31"/>
  <c r="N563" i="31"/>
  <c r="N334" i="31"/>
  <c r="N491" i="31"/>
  <c r="N322" i="31"/>
  <c r="N479" i="31"/>
  <c r="N422" i="31"/>
  <c r="N603" i="31"/>
  <c r="N487" i="31"/>
  <c r="N397" i="31"/>
  <c r="N581" i="31"/>
  <c r="N446" i="31"/>
  <c r="N480" i="31"/>
  <c r="N324" i="31"/>
  <c r="N450" i="31"/>
  <c r="N532" i="31"/>
  <c r="N388" i="31"/>
  <c r="N498" i="31"/>
  <c r="N375" i="31"/>
  <c r="N499" i="31"/>
  <c r="N503" i="31"/>
  <c r="N405" i="31"/>
  <c r="N421" i="31"/>
  <c r="N349" i="31"/>
  <c r="N602" i="31"/>
  <c r="N535" i="31"/>
  <c r="N347" i="31"/>
  <c r="N504" i="31"/>
  <c r="N335" i="31"/>
  <c r="N492" i="31"/>
  <c r="N438" i="31"/>
  <c r="N299" i="31"/>
  <c r="N502" i="31"/>
  <c r="N595" i="31"/>
  <c r="N462" i="31"/>
  <c r="N306" i="31"/>
  <c r="N495" i="31"/>
  <c r="N339" i="31"/>
  <c r="N419" i="31"/>
  <c r="N520" i="31"/>
  <c r="N376" i="31"/>
  <c r="N332" i="31"/>
  <c r="N302" i="31"/>
  <c r="N562" i="31"/>
  <c r="N429" i="31"/>
  <c r="N342" i="31"/>
  <c r="N390" i="31"/>
  <c r="N315" i="31"/>
  <c r="N576" i="31"/>
  <c r="N409" i="31"/>
  <c r="N601" i="31"/>
  <c r="N443" i="31"/>
  <c r="N507" i="31"/>
  <c r="N529" i="31"/>
  <c r="N459" i="31"/>
  <c r="N606" i="31"/>
  <c r="N550" i="31"/>
  <c r="N483" i="31"/>
  <c r="N396" i="31"/>
  <c r="N399" i="31"/>
  <c r="N557" i="31"/>
  <c r="N387" i="31"/>
  <c r="N313" i="31"/>
  <c r="N501" i="31"/>
  <c r="N378" i="31"/>
  <c r="N314" i="31"/>
  <c r="N476" i="31"/>
  <c r="N337" i="31"/>
  <c r="N525" i="31"/>
  <c r="N369" i="31"/>
  <c r="N554" i="31"/>
  <c r="N403" i="31"/>
  <c r="N585" i="31"/>
  <c r="N293" i="31"/>
  <c r="N472" i="31"/>
  <c r="N328" i="31"/>
  <c r="N327" i="31"/>
  <c r="N545" i="31"/>
  <c r="N372" i="31"/>
  <c r="N437" i="31"/>
  <c r="N469" i="31"/>
  <c r="N404" i="31"/>
  <c r="N578" i="31"/>
  <c r="N521" i="31"/>
  <c r="N444" i="31"/>
  <c r="N365" i="31"/>
  <c r="N413" i="31"/>
  <c r="N570" i="31"/>
  <c r="N401" i="31"/>
  <c r="N560" i="31"/>
  <c r="N301" i="31"/>
  <c r="N294" i="31"/>
  <c r="N577" i="31"/>
  <c r="N297" i="31"/>
  <c r="N596" i="31"/>
  <c r="N344" i="31"/>
  <c r="N362" i="31"/>
  <c r="N430" i="31"/>
  <c r="N383" i="31"/>
  <c r="N384" i="31"/>
  <c r="N370" i="31"/>
  <c r="N542" i="31"/>
  <c r="N448" i="31"/>
  <c r="N490" i="31"/>
  <c r="N593" i="31"/>
  <c r="N572" i="31"/>
  <c r="N485" i="31"/>
  <c r="N295" i="31"/>
  <c r="N609" i="31"/>
  <c r="N359" i="31"/>
  <c r="N393" i="31"/>
  <c r="N445" i="31"/>
  <c r="N398" i="31"/>
  <c r="N402" i="31"/>
  <c r="N385" i="31"/>
  <c r="N389" i="31"/>
  <c r="N436" i="31"/>
  <c r="N608" i="31"/>
  <c r="N531" i="31"/>
  <c r="N514" i="31"/>
  <c r="N451" i="31"/>
  <c r="N360" i="31"/>
  <c r="N348" i="31"/>
  <c r="N377" i="31"/>
  <c r="N408" i="31"/>
  <c r="N461" i="31"/>
  <c r="N477" i="31"/>
  <c r="N417" i="31"/>
  <c r="N418" i="31"/>
  <c r="N356" i="31"/>
  <c r="N424" i="31"/>
  <c r="N559" i="31"/>
  <c r="N425" i="31"/>
  <c r="N341" i="31"/>
  <c r="N411" i="31"/>
  <c r="N373" i="31"/>
  <c r="N361" i="31"/>
  <c r="N455" i="31"/>
  <c r="N423" i="31"/>
  <c r="N493" i="31"/>
  <c r="N494" i="31"/>
  <c r="N432" i="31"/>
  <c r="N433" i="31"/>
  <c r="N325" i="31"/>
  <c r="N364" i="31"/>
  <c r="N475" i="31"/>
  <c r="N588" i="31"/>
  <c r="N579" i="31"/>
  <c r="N549" i="31"/>
  <c r="N386" i="31"/>
  <c r="N374" i="31"/>
  <c r="N470" i="31"/>
  <c r="N441" i="31"/>
  <c r="N509" i="31"/>
  <c r="N510" i="31"/>
  <c r="N511" i="31"/>
  <c r="N449" i="31"/>
  <c r="N604" i="31"/>
  <c r="N352" i="31"/>
  <c r="N394" i="31"/>
  <c r="N366" i="31"/>
  <c r="N558" i="31"/>
  <c r="N515" i="31"/>
  <c r="N426" i="31"/>
  <c r="N414" i="31"/>
  <c r="N486" i="31"/>
  <c r="N519" i="31"/>
  <c r="N524" i="31"/>
  <c r="N539" i="31"/>
  <c r="N526" i="31"/>
  <c r="N464" i="31"/>
  <c r="N592" i="31"/>
  <c r="N340" i="31"/>
  <c r="N318" i="31"/>
  <c r="N473" i="31"/>
  <c r="N506" i="31"/>
  <c r="N317" i="31"/>
  <c r="N379" i="31"/>
  <c r="N452" i="31"/>
  <c r="N440" i="31"/>
  <c r="N533" i="31"/>
  <c r="N548" i="31"/>
  <c r="N610" i="31"/>
  <c r="N567" i="31"/>
  <c r="N391" i="31"/>
  <c r="N488" i="31"/>
  <c r="N427" i="31"/>
  <c r="N319" i="31"/>
  <c r="N354" i="31"/>
  <c r="N565" i="31"/>
  <c r="N310" i="31"/>
  <c r="N605" i="31"/>
  <c r="N505" i="31"/>
  <c r="N336" i="31"/>
  <c r="N540" i="31"/>
  <c r="N580" i="31"/>
  <c r="N594" i="31"/>
  <c r="N518" i="31"/>
  <c r="N351" i="31"/>
  <c r="N569" i="31"/>
  <c r="N568" i="31"/>
  <c r="N536" i="31"/>
  <c r="N298" i="31"/>
  <c r="N538" i="31"/>
  <c r="N508" i="31"/>
  <c r="N587" i="31"/>
  <c r="N468" i="31"/>
  <c r="N305" i="31"/>
  <c r="N598" i="31"/>
  <c r="N358" i="31"/>
  <c r="N434" i="31"/>
  <c r="N516" i="31"/>
  <c r="N612" i="31"/>
  <c r="N484" i="31"/>
  <c r="N574" i="31"/>
  <c r="N547" i="31"/>
  <c r="N353" i="31"/>
  <c r="N460" i="31"/>
  <c r="N406" i="31"/>
  <c r="N439" i="31"/>
  <c r="N561" i="31"/>
  <c r="N368" i="31"/>
  <c r="N541" i="31"/>
  <c r="N316" i="31"/>
  <c r="N357" i="31"/>
  <c r="N517" i="31"/>
  <c r="N330" i="31"/>
  <c r="N553" i="31"/>
  <c r="N555" i="31"/>
  <c r="N304" i="31"/>
  <c r="N350" i="31"/>
  <c r="N530" i="31"/>
  <c r="N345" i="31"/>
  <c r="N582" i="31"/>
  <c r="N571" i="31"/>
  <c r="N292" i="31"/>
  <c r="N551" i="31"/>
  <c r="N543" i="31"/>
  <c r="N534" i="31"/>
  <c r="N323" i="31"/>
  <c r="N599" i="31"/>
  <c r="AQ10" i="31"/>
  <c r="N522" i="31"/>
  <c r="N583" i="31"/>
  <c r="N303" i="31"/>
  <c r="N338" i="31"/>
  <c r="N591" i="31"/>
  <c r="N410" i="31"/>
  <c r="N343" i="31"/>
  <c r="N584" i="31"/>
  <c r="N329" i="31"/>
  <c r="N496" i="31"/>
  <c r="N320" i="31"/>
  <c r="N331" i="31"/>
  <c r="N355" i="31"/>
  <c r="AI322" i="31"/>
  <c r="AI334" i="31"/>
  <c r="AI346" i="31"/>
  <c r="AI358" i="31"/>
  <c r="AI370" i="31"/>
  <c r="AI382" i="31"/>
  <c r="AI394" i="31"/>
  <c r="AI406" i="31"/>
  <c r="AI418" i="31"/>
  <c r="AI430" i="31"/>
  <c r="AI442" i="31"/>
  <c r="AI454" i="31"/>
  <c r="AI466" i="31"/>
  <c r="AI478" i="31"/>
  <c r="AI490" i="31"/>
  <c r="AI502" i="31"/>
  <c r="AI514" i="31"/>
  <c r="AI526" i="31"/>
  <c r="AI538" i="31"/>
  <c r="AI550" i="31"/>
  <c r="AI562" i="31"/>
  <c r="AI574" i="31"/>
  <c r="AI586" i="31"/>
  <c r="AI598" i="31"/>
  <c r="AI610" i="31"/>
  <c r="AI323" i="31"/>
  <c r="AI335" i="31"/>
  <c r="AI347" i="31"/>
  <c r="AI359" i="31"/>
  <c r="AI371" i="31"/>
  <c r="AI383" i="31"/>
  <c r="AI395" i="31"/>
  <c r="AI407" i="31"/>
  <c r="AI419" i="31"/>
  <c r="AI431" i="31"/>
  <c r="AI443" i="31"/>
  <c r="AI455" i="31"/>
  <c r="AI467" i="31"/>
  <c r="AI479" i="31"/>
  <c r="AI491" i="31"/>
  <c r="AI503" i="31"/>
  <c r="AI515" i="31"/>
  <c r="AI527" i="31"/>
  <c r="AI539" i="31"/>
  <c r="AI551" i="31"/>
  <c r="AI563" i="31"/>
  <c r="AI575" i="31"/>
  <c r="AI587" i="31"/>
  <c r="AI599" i="31"/>
  <c r="AI611" i="31"/>
  <c r="AI324" i="31"/>
  <c r="AI336" i="31"/>
  <c r="AI348" i="31"/>
  <c r="AI360" i="31"/>
  <c r="AI372" i="31"/>
  <c r="AI384" i="31"/>
  <c r="AI396" i="31"/>
  <c r="AI408" i="31"/>
  <c r="AI420" i="31"/>
  <c r="AI432" i="31"/>
  <c r="AI444" i="31"/>
  <c r="AI456" i="31"/>
  <c r="AI468" i="31"/>
  <c r="AI480" i="31"/>
  <c r="AI492" i="31"/>
  <c r="AI504" i="31"/>
  <c r="AI516" i="31"/>
  <c r="AI528" i="31"/>
  <c r="AI540" i="31"/>
  <c r="AI552" i="31"/>
  <c r="AI564" i="31"/>
  <c r="AI576" i="31"/>
  <c r="AI588" i="31"/>
  <c r="AI600" i="31"/>
  <c r="AI612" i="31"/>
  <c r="AI325" i="31"/>
  <c r="AI340" i="31"/>
  <c r="AI355" i="31"/>
  <c r="AI373" i="31"/>
  <c r="AI388" i="31"/>
  <c r="AI326" i="31"/>
  <c r="AI341" i="31"/>
  <c r="AI356" i="31"/>
  <c r="AI374" i="31"/>
  <c r="AI389" i="31"/>
  <c r="AI404" i="31"/>
  <c r="AI422" i="31"/>
  <c r="AI437" i="31"/>
  <c r="AI452" i="31"/>
  <c r="AI470" i="31"/>
  <c r="AI485" i="31"/>
  <c r="AI500" i="31"/>
  <c r="AI518" i="31"/>
  <c r="AI533" i="31"/>
  <c r="AI548" i="31"/>
  <c r="AI566" i="31"/>
  <c r="AI581" i="31"/>
  <c r="AI596" i="31"/>
  <c r="AI313" i="31"/>
  <c r="AI343" i="31"/>
  <c r="AI376" i="31"/>
  <c r="AI409" i="31"/>
  <c r="AI424" i="31"/>
  <c r="AI457" i="31"/>
  <c r="AI487" i="31"/>
  <c r="AI520" i="31"/>
  <c r="AI553" i="31"/>
  <c r="AI583" i="31"/>
  <c r="AI329" i="31"/>
  <c r="AI362" i="31"/>
  <c r="AI392" i="31"/>
  <c r="AI425" i="31"/>
  <c r="AI458" i="31"/>
  <c r="AI488" i="31"/>
  <c r="AI521" i="31"/>
  <c r="AI554" i="31"/>
  <c r="AI584" i="31"/>
  <c r="AI330" i="31"/>
  <c r="AI363" i="31"/>
  <c r="AI393" i="31"/>
  <c r="AI426" i="31"/>
  <c r="AI459" i="31"/>
  <c r="AI507" i="31"/>
  <c r="AI537" i="31"/>
  <c r="AI570" i="31"/>
  <c r="AI603" i="31"/>
  <c r="AI327" i="31"/>
  <c r="AI342" i="31"/>
  <c r="AI357" i="31"/>
  <c r="AI375" i="31"/>
  <c r="AI390" i="31"/>
  <c r="AI405" i="31"/>
  <c r="AI423" i="31"/>
  <c r="AI438" i="31"/>
  <c r="AI453" i="31"/>
  <c r="AI471" i="31"/>
  <c r="AI486" i="31"/>
  <c r="AI501" i="31"/>
  <c r="AI519" i="31"/>
  <c r="AI534" i="31"/>
  <c r="AI549" i="31"/>
  <c r="AI567" i="31"/>
  <c r="AI582" i="31"/>
  <c r="AI597" i="31"/>
  <c r="AI328" i="31"/>
  <c r="AI361" i="31"/>
  <c r="AI391" i="31"/>
  <c r="AI439" i="31"/>
  <c r="AI472" i="31"/>
  <c r="AI505" i="31"/>
  <c r="AI535" i="31"/>
  <c r="AI568" i="31"/>
  <c r="AI601" i="31"/>
  <c r="AI314" i="31"/>
  <c r="AI344" i="31"/>
  <c r="AI377" i="31"/>
  <c r="AI410" i="31"/>
  <c r="AI440" i="31"/>
  <c r="AI473" i="31"/>
  <c r="AI506" i="31"/>
  <c r="AI536" i="31"/>
  <c r="AI569" i="31"/>
  <c r="AI602" i="31"/>
  <c r="AI315" i="31"/>
  <c r="AI345" i="31"/>
  <c r="AI378" i="31"/>
  <c r="AI411" i="31"/>
  <c r="AI441" i="31"/>
  <c r="AI474" i="31"/>
  <c r="AI489" i="31"/>
  <c r="AI522" i="31"/>
  <c r="AI555" i="31"/>
  <c r="AI585" i="31"/>
  <c r="AI319" i="31"/>
  <c r="AI352" i="31"/>
  <c r="AI385" i="31"/>
  <c r="AI414" i="31"/>
  <c r="AI445" i="31"/>
  <c r="AI465" i="31"/>
  <c r="AI496" i="31"/>
  <c r="AI524" i="31"/>
  <c r="AI547" i="31"/>
  <c r="AI578" i="31"/>
  <c r="AI606" i="31"/>
  <c r="AI316" i="31"/>
  <c r="AI462" i="31"/>
  <c r="AI572" i="31"/>
  <c r="AI320" i="31"/>
  <c r="AI353" i="31"/>
  <c r="AI386" i="31"/>
  <c r="AI415" i="31"/>
  <c r="AI446" i="31"/>
  <c r="AI469" i="31"/>
  <c r="AI497" i="31"/>
  <c r="AI525" i="31"/>
  <c r="AI556" i="31"/>
  <c r="AI579" i="31"/>
  <c r="AI607" i="31"/>
  <c r="AI331" i="31"/>
  <c r="AI397" i="31"/>
  <c r="AI448" i="31"/>
  <c r="AI499" i="31"/>
  <c r="AI558" i="31"/>
  <c r="AI609" i="31"/>
  <c r="AI332" i="31"/>
  <c r="AI421" i="31"/>
  <c r="AI477" i="31"/>
  <c r="AI531" i="31"/>
  <c r="AI590" i="31"/>
  <c r="AI366" i="31"/>
  <c r="AI450" i="31"/>
  <c r="AI509" i="31"/>
  <c r="AI560" i="31"/>
  <c r="AI367" i="31"/>
  <c r="AI428" i="31"/>
  <c r="AI482" i="31"/>
  <c r="AI541" i="31"/>
  <c r="AI592" i="31"/>
  <c r="AI368" i="31"/>
  <c r="AI429" i="31"/>
  <c r="AI483" i="31"/>
  <c r="AI542" i="31"/>
  <c r="AI593" i="31"/>
  <c r="AI369" i="31"/>
  <c r="AI433" i="31"/>
  <c r="AI484" i="31"/>
  <c r="AI543" i="31"/>
  <c r="AI594" i="31"/>
  <c r="AI379" i="31"/>
  <c r="AI434" i="31"/>
  <c r="AI513" i="31"/>
  <c r="AI544" i="31"/>
  <c r="AI321" i="31"/>
  <c r="AI354" i="31"/>
  <c r="AI387" i="31"/>
  <c r="AI416" i="31"/>
  <c r="AI447" i="31"/>
  <c r="AI475" i="31"/>
  <c r="AI498" i="31"/>
  <c r="AI529" i="31"/>
  <c r="AI557" i="31"/>
  <c r="AI580" i="31"/>
  <c r="AI608" i="31"/>
  <c r="AI364" i="31"/>
  <c r="AI417" i="31"/>
  <c r="AI476" i="31"/>
  <c r="AI530" i="31"/>
  <c r="AI589" i="31"/>
  <c r="AI365" i="31"/>
  <c r="AI398" i="31"/>
  <c r="AI449" i="31"/>
  <c r="AI508" i="31"/>
  <c r="AI559" i="31"/>
  <c r="AI333" i="31"/>
  <c r="AI399" i="31"/>
  <c r="AI427" i="31"/>
  <c r="AI481" i="31"/>
  <c r="AI532" i="31"/>
  <c r="AI591" i="31"/>
  <c r="AI337" i="31"/>
  <c r="AI400" i="31"/>
  <c r="AI451" i="31"/>
  <c r="AI510" i="31"/>
  <c r="AI561" i="31"/>
  <c r="AI338" i="31"/>
  <c r="AI401" i="31"/>
  <c r="AI460" i="31"/>
  <c r="AI511" i="31"/>
  <c r="AI565" i="31"/>
  <c r="AI339" i="31"/>
  <c r="AI402" i="31"/>
  <c r="AI461" i="31"/>
  <c r="AI512" i="31"/>
  <c r="AI571" i="31"/>
  <c r="AI349" i="31"/>
  <c r="AI403" i="31"/>
  <c r="AI493" i="31"/>
  <c r="AI595" i="31"/>
  <c r="AI317" i="31"/>
  <c r="AI494" i="31"/>
  <c r="AI318" i="31"/>
  <c r="AI495" i="31"/>
  <c r="AI350" i="31"/>
  <c r="AI517" i="31"/>
  <c r="AI351" i="31"/>
  <c r="AI523" i="31"/>
  <c r="AI380" i="31"/>
  <c r="AI545" i="31"/>
  <c r="AI381" i="31"/>
  <c r="AI546" i="31"/>
  <c r="AI412" i="31"/>
  <c r="AI573" i="31"/>
  <c r="AI413" i="31"/>
  <c r="AI577" i="31"/>
  <c r="AI435" i="31"/>
  <c r="AI604" i="31"/>
  <c r="AI436" i="31"/>
  <c r="AI605" i="31"/>
  <c r="AI463" i="31"/>
  <c r="AI464" i="31"/>
  <c r="AQ7" i="31" l="1"/>
  <c r="AQ8" i="31"/>
  <c r="AR8" i="31" s="1"/>
  <c r="E23" i="31"/>
  <c r="AR7" i="31" l="1"/>
  <c r="C18" i="31" s="1"/>
  <c r="C15" i="31"/>
  <c r="U6" i="31" s="1"/>
  <c r="N290" i="31" l="1"/>
  <c r="N13" i="31"/>
  <c r="J6" i="31"/>
  <c r="N161" i="31"/>
  <c r="N19" i="31"/>
  <c r="N253" i="31"/>
  <c r="N271" i="31"/>
  <c r="N287" i="31"/>
  <c r="N43" i="31"/>
  <c r="N33" i="31"/>
  <c r="N190" i="31"/>
  <c r="N60" i="31"/>
  <c r="N217" i="31"/>
  <c r="N14" i="31"/>
  <c r="N202" i="31"/>
  <c r="N173" i="31"/>
  <c r="N15" i="31"/>
  <c r="N66" i="31"/>
  <c r="N146" i="31"/>
  <c r="N102" i="31"/>
  <c r="N289" i="31"/>
  <c r="N55" i="31"/>
  <c r="N245" i="31"/>
  <c r="N198" i="31"/>
  <c r="N153" i="31"/>
  <c r="N160" i="31"/>
  <c r="N174" i="31"/>
  <c r="N254" i="31"/>
  <c r="N192" i="31"/>
  <c r="N233" i="31"/>
  <c r="N36" i="31"/>
  <c r="N285" i="31"/>
  <c r="N122" i="31"/>
  <c r="N277" i="31"/>
  <c r="N46" i="31"/>
  <c r="N203" i="31"/>
  <c r="N73" i="31"/>
  <c r="N230" i="31"/>
  <c r="N30" i="31"/>
  <c r="N219" i="31"/>
  <c r="N188" i="31"/>
  <c r="N81" i="31"/>
  <c r="N162" i="31"/>
  <c r="N117" i="31"/>
  <c r="N70" i="31"/>
  <c r="N260" i="31"/>
  <c r="N25" i="31"/>
  <c r="N213" i="31"/>
  <c r="N168" i="31"/>
  <c r="N148" i="31"/>
  <c r="N115" i="31"/>
  <c r="N238" i="31"/>
  <c r="N92" i="31"/>
  <c r="N155" i="31"/>
  <c r="N29" i="31"/>
  <c r="N249" i="31"/>
  <c r="N58" i="31"/>
  <c r="N239" i="31"/>
  <c r="N59" i="31"/>
  <c r="N216" i="31"/>
  <c r="N86" i="31"/>
  <c r="N243" i="31"/>
  <c r="N45" i="31"/>
  <c r="N235" i="31"/>
  <c r="N205" i="31"/>
  <c r="N17" i="31"/>
  <c r="N96" i="31"/>
  <c r="N179" i="31"/>
  <c r="N132" i="31"/>
  <c r="N87" i="31"/>
  <c r="N275" i="31"/>
  <c r="N41" i="31"/>
  <c r="N228" i="31"/>
  <c r="N183" i="31"/>
  <c r="N280" i="31"/>
  <c r="N136" i="31"/>
  <c r="N140" i="31"/>
  <c r="N75" i="31"/>
  <c r="N27" i="31"/>
  <c r="N209" i="31"/>
  <c r="N201" i="31"/>
  <c r="N72" i="31"/>
  <c r="N229" i="31"/>
  <c r="N99" i="31"/>
  <c r="N257" i="31"/>
  <c r="N62" i="31"/>
  <c r="N250" i="31"/>
  <c r="N31" i="31"/>
  <c r="N218" i="31"/>
  <c r="N234" i="31"/>
  <c r="N170" i="31"/>
  <c r="N159" i="31"/>
  <c r="N85" i="31"/>
  <c r="N242" i="31"/>
  <c r="N113" i="31"/>
  <c r="N270" i="31"/>
  <c r="N78" i="31"/>
  <c r="N265" i="31"/>
  <c r="N48" i="31"/>
  <c r="N236" i="31"/>
  <c r="N49" i="31"/>
  <c r="N22" i="31"/>
  <c r="N210" i="31"/>
  <c r="N163" i="31"/>
  <c r="N118" i="31"/>
  <c r="N71" i="31"/>
  <c r="N261" i="31"/>
  <c r="N26" i="31"/>
  <c r="N214" i="31"/>
  <c r="N256" i="31"/>
  <c r="N112" i="31"/>
  <c r="N130" i="31"/>
  <c r="N200" i="31"/>
  <c r="N158" i="31"/>
  <c r="N129" i="31"/>
  <c r="N279" i="31"/>
  <c r="N121" i="31"/>
  <c r="N263" i="31"/>
  <c r="N98" i="31"/>
  <c r="N255" i="31"/>
  <c r="N126" i="31"/>
  <c r="N283" i="31"/>
  <c r="N93" i="31"/>
  <c r="N281" i="31"/>
  <c r="N63" i="31"/>
  <c r="N251" i="31"/>
  <c r="N65" i="31"/>
  <c r="N37" i="31"/>
  <c r="N225" i="31"/>
  <c r="N180" i="31"/>
  <c r="N133" i="31"/>
  <c r="N89" i="31"/>
  <c r="N276" i="31"/>
  <c r="N42" i="31"/>
  <c r="N231" i="31"/>
  <c r="N262" i="31"/>
  <c r="N244" i="31"/>
  <c r="N100" i="31"/>
  <c r="N106" i="31"/>
  <c r="N272" i="31"/>
  <c r="N77" i="31"/>
  <c r="N67" i="31"/>
  <c r="N248" i="31"/>
  <c r="N176" i="31"/>
  <c r="N222" i="31"/>
  <c r="N61" i="31"/>
  <c r="N247" i="31"/>
  <c r="N51" i="31"/>
  <c r="N185" i="31"/>
  <c r="N282" i="31"/>
  <c r="N142" i="31"/>
  <c r="N95" i="31"/>
  <c r="N194" i="31"/>
  <c r="N259" i="31"/>
  <c r="N39" i="31"/>
  <c r="N182" i="31"/>
  <c r="N57" i="31"/>
  <c r="N64" i="31"/>
  <c r="N145" i="31"/>
  <c r="N206" i="31"/>
  <c r="N143" i="31"/>
  <c r="N157" i="31"/>
  <c r="N110" i="31"/>
  <c r="N240" i="31"/>
  <c r="N274" i="31"/>
  <c r="N103" i="31"/>
  <c r="N246" i="31"/>
  <c r="N74" i="31"/>
  <c r="N52" i="31"/>
  <c r="N91" i="31"/>
  <c r="N21" i="31"/>
  <c r="N221" i="31"/>
  <c r="N18" i="31"/>
  <c r="N258" i="31"/>
  <c r="N23" i="31"/>
  <c r="N149" i="31"/>
  <c r="N90" i="31"/>
  <c r="N268" i="31"/>
  <c r="N40" i="31"/>
  <c r="N252" i="31"/>
  <c r="N237" i="31"/>
  <c r="N215" i="31"/>
  <c r="N16" i="31"/>
  <c r="N34" i="31"/>
  <c r="N266" i="31"/>
  <c r="N35" i="31"/>
  <c r="N273" i="31"/>
  <c r="N38" i="31"/>
  <c r="N166" i="31"/>
  <c r="N105" i="31"/>
  <c r="N232" i="31"/>
  <c r="N28" i="31"/>
  <c r="N220" i="31"/>
  <c r="N175" i="31"/>
  <c r="N186" i="31"/>
  <c r="N111" i="31"/>
  <c r="N139" i="31"/>
  <c r="N114" i="31"/>
  <c r="N69" i="31"/>
  <c r="N197" i="31"/>
  <c r="N208" i="31"/>
  <c r="N82" i="31"/>
  <c r="N125" i="31"/>
  <c r="N123" i="31"/>
  <c r="N53" i="31"/>
  <c r="N212" i="31"/>
  <c r="N56" i="31"/>
  <c r="N224" i="31"/>
  <c r="N196" i="31"/>
  <c r="N193" i="31"/>
  <c r="N138" i="31"/>
  <c r="N165" i="31"/>
  <c r="N141" i="31"/>
  <c r="N147" i="31"/>
  <c r="N227" i="31"/>
  <c r="N104" i="31"/>
  <c r="N189" i="31"/>
  <c r="N184" i="31"/>
  <c r="N151" i="31"/>
  <c r="N156" i="31"/>
  <c r="N195" i="31"/>
  <c r="N172" i="31"/>
  <c r="N97" i="31"/>
  <c r="N164" i="31"/>
  <c r="N171" i="31"/>
  <c r="N101" i="31"/>
  <c r="N211" i="31"/>
  <c r="N169" i="31"/>
  <c r="N177" i="31"/>
  <c r="N187" i="31"/>
  <c r="N32" i="31"/>
  <c r="N116" i="31"/>
  <c r="N150" i="31"/>
  <c r="N44" i="31"/>
  <c r="N264" i="31"/>
  <c r="N286" i="31"/>
  <c r="N128" i="31"/>
  <c r="N223" i="31"/>
  <c r="N127" i="31"/>
  <c r="N76" i="31"/>
  <c r="N144" i="31"/>
  <c r="N137" i="31"/>
  <c r="N267" i="31"/>
  <c r="N20" i="31"/>
  <c r="N47" i="31"/>
  <c r="N284" i="31"/>
  <c r="N50" i="31"/>
  <c r="N288" i="31"/>
  <c r="N54" i="31"/>
  <c r="N181" i="31"/>
  <c r="N120" i="31"/>
  <c r="N108" i="31"/>
  <c r="N135" i="31"/>
  <c r="N152" i="31"/>
  <c r="N84" i="31"/>
  <c r="N199" i="31"/>
  <c r="N68" i="31"/>
  <c r="N178" i="31"/>
  <c r="N79" i="31"/>
  <c r="N83" i="31"/>
  <c r="N119" i="31"/>
  <c r="N154" i="31"/>
  <c r="N207" i="31"/>
  <c r="N191" i="31"/>
  <c r="N94" i="31"/>
  <c r="N134" i="31"/>
  <c r="N107" i="31"/>
  <c r="N124" i="31"/>
  <c r="N204" i="31"/>
  <c r="N109" i="31"/>
  <c r="N226" i="31"/>
  <c r="N88" i="31"/>
  <c r="N278" i="31"/>
  <c r="N269" i="31"/>
  <c r="N80" i="31"/>
  <c r="N131" i="31"/>
  <c r="N241" i="31"/>
  <c r="N24" i="31"/>
  <c r="N167" i="31"/>
  <c r="O6" i="31"/>
  <c r="AI202" i="31"/>
  <c r="AI131" i="31"/>
  <c r="AI275" i="31"/>
  <c r="AI120" i="31"/>
  <c r="AI264" i="31"/>
  <c r="AI115" i="31"/>
  <c r="AI307" i="31"/>
  <c r="AI182" i="31"/>
  <c r="AI198" i="31"/>
  <c r="AI256" i="31"/>
  <c r="AI207" i="31"/>
  <c r="AI306" i="31"/>
  <c r="AI78" i="31"/>
  <c r="AI271" i="31"/>
  <c r="AI126" i="31"/>
  <c r="AI188" i="31"/>
  <c r="AI222" i="31"/>
  <c r="AI93" i="31"/>
  <c r="AI216" i="31"/>
  <c r="AI116" i="31"/>
  <c r="AI267" i="31"/>
  <c r="AI135" i="31"/>
  <c r="AI232" i="31"/>
  <c r="AI235" i="31"/>
  <c r="AI146" i="31"/>
  <c r="AI310" i="31"/>
  <c r="AI239" i="31"/>
  <c r="AI84" i="31"/>
  <c r="AI259" i="31"/>
  <c r="AI247" i="31"/>
  <c r="AI266" i="31"/>
  <c r="AI297" i="31"/>
  <c r="AI214" i="31"/>
  <c r="AI143" i="31"/>
  <c r="AI287" i="31"/>
  <c r="AI132" i="31"/>
  <c r="AI276" i="31"/>
  <c r="AI133" i="31"/>
  <c r="AI197" i="31"/>
  <c r="AI213" i="31"/>
  <c r="AI289" i="31"/>
  <c r="AI98" i="31"/>
  <c r="AI237" i="31"/>
  <c r="AI80" i="31"/>
  <c r="AI174" i="31"/>
  <c r="AI285" i="31"/>
  <c r="AI250" i="31"/>
  <c r="AI179" i="31"/>
  <c r="AI312" i="31"/>
  <c r="AI245" i="31"/>
  <c r="AI104" i="31"/>
  <c r="AI123" i="31"/>
  <c r="AI121" i="31"/>
  <c r="AI194" i="31"/>
  <c r="AI91" i="31"/>
  <c r="AI262" i="31"/>
  <c r="AI191" i="31"/>
  <c r="AI180" i="31"/>
  <c r="AI196" i="31"/>
  <c r="AI260" i="31"/>
  <c r="AI137" i="31"/>
  <c r="AI153" i="31"/>
  <c r="AI87" i="31"/>
  <c r="AI151" i="31"/>
  <c r="AI171" i="31"/>
  <c r="AI157" i="31"/>
  <c r="AI224" i="31"/>
  <c r="AI283" i="31"/>
  <c r="AI206" i="31"/>
  <c r="AI274" i="31"/>
  <c r="AI203" i="31"/>
  <c r="AI192" i="31"/>
  <c r="AI211" i="31"/>
  <c r="AI278" i="31"/>
  <c r="AI170" i="31"/>
  <c r="AI294" i="31"/>
  <c r="AI185" i="31"/>
  <c r="AI109" i="31"/>
  <c r="AI76" i="31"/>
  <c r="AI269" i="31"/>
  <c r="AI142" i="31"/>
  <c r="AI204" i="31"/>
  <c r="AI101" i="31"/>
  <c r="AI234" i="31"/>
  <c r="AI117" i="31"/>
  <c r="AI217" i="31"/>
  <c r="AI218" i="31"/>
  <c r="AI219" i="31"/>
  <c r="AI220" i="31"/>
  <c r="AI290" i="31"/>
  <c r="AI225" i="31"/>
  <c r="AI172" i="31"/>
  <c r="AI302" i="31"/>
  <c r="AI113" i="31"/>
  <c r="AI298" i="31"/>
  <c r="AI83" i="31"/>
  <c r="AI227" i="31"/>
  <c r="AI244" i="31"/>
  <c r="AI308" i="31"/>
  <c r="AI199" i="31"/>
  <c r="AI233" i="31"/>
  <c r="AI248" i="31"/>
  <c r="AI249" i="31"/>
  <c r="AI127" i="31"/>
  <c r="AI205" i="31"/>
  <c r="AI241" i="31"/>
  <c r="AI147" i="31"/>
  <c r="AI258" i="31"/>
  <c r="AI124" i="31"/>
  <c r="AI158" i="31"/>
  <c r="AI189" i="31"/>
  <c r="AI254" i="31"/>
  <c r="AI95" i="31"/>
  <c r="AI228" i="31"/>
  <c r="AI134" i="31"/>
  <c r="AI82" i="31"/>
  <c r="AI226" i="31"/>
  <c r="AI155" i="31"/>
  <c r="AI299" i="31"/>
  <c r="AI144" i="31"/>
  <c r="AI288" i="31"/>
  <c r="AI148" i="31"/>
  <c r="AI212" i="31"/>
  <c r="AI231" i="31"/>
  <c r="AI90" i="31"/>
  <c r="AI114" i="31"/>
  <c r="AI128" i="31"/>
  <c r="AI77" i="31"/>
  <c r="AI303" i="31"/>
  <c r="AI176" i="31"/>
  <c r="AI270" i="31"/>
  <c r="AI81" i="31"/>
  <c r="AI94" i="31"/>
  <c r="AI238" i="31"/>
  <c r="AI167" i="31"/>
  <c r="AI311" i="31"/>
  <c r="AI156" i="31"/>
  <c r="AI300" i="31"/>
  <c r="AI163" i="31"/>
  <c r="AI230" i="31"/>
  <c r="AI89" i="31"/>
  <c r="AI75" i="31"/>
  <c r="AI246" i="31"/>
  <c r="AI73" i="31"/>
  <c r="AI74" i="31"/>
  <c r="AI105" i="31"/>
  <c r="AI161" i="31"/>
  <c r="AI173" i="31"/>
  <c r="AI242" i="31"/>
  <c r="AI99" i="31"/>
  <c r="AI110" i="31"/>
  <c r="AI243" i="31"/>
  <c r="AI255" i="31"/>
  <c r="AI106" i="31"/>
  <c r="AI168" i="31"/>
  <c r="AI181" i="31"/>
  <c r="AI88" i="31"/>
  <c r="AI261" i="31"/>
  <c r="AI122" i="31"/>
  <c r="AI138" i="31"/>
  <c r="AI236" i="31"/>
  <c r="AI305" i="31"/>
  <c r="AI129" i="31"/>
  <c r="AI140" i="31"/>
  <c r="AI125" i="31"/>
  <c r="AI159" i="31"/>
  <c r="AI221" i="31"/>
  <c r="AI118" i="31"/>
  <c r="AI103" i="31"/>
  <c r="AI279" i="31"/>
  <c r="AI152" i="31"/>
  <c r="AI162" i="31"/>
  <c r="AI130" i="31"/>
  <c r="AI86" i="31"/>
  <c r="AI136" i="31"/>
  <c r="AI186" i="31"/>
  <c r="AI102" i="31"/>
  <c r="AI184" i="31"/>
  <c r="AI201" i="31"/>
  <c r="AI187" i="31"/>
  <c r="AI257" i="31"/>
  <c r="AI79" i="31"/>
  <c r="AI195" i="31"/>
  <c r="AI286" i="31"/>
  <c r="AI215" i="31"/>
  <c r="AI229" i="31"/>
  <c r="AI293" i="31"/>
  <c r="AI169" i="31"/>
  <c r="AI200" i="31"/>
  <c r="AI309" i="31"/>
  <c r="AI97" i="31"/>
  <c r="AI139" i="31"/>
  <c r="AI175" i="31"/>
  <c r="AI154" i="31"/>
  <c r="AI166" i="31"/>
  <c r="AI178" i="31"/>
  <c r="AI190" i="31"/>
  <c r="AI119" i="31"/>
  <c r="AI96" i="31"/>
  <c r="AI252" i="31"/>
  <c r="AI277" i="31"/>
  <c r="AI165" i="31"/>
  <c r="AI251" i="31"/>
  <c r="AI108" i="31"/>
  <c r="AI85" i="31"/>
  <c r="AI265" i="31"/>
  <c r="AI145" i="31"/>
  <c r="AI183" i="31"/>
  <c r="AI209" i="31"/>
  <c r="AI280" i="31"/>
  <c r="AI296" i="31"/>
  <c r="AI253" i="31"/>
  <c r="AI92" i="31"/>
  <c r="AI107" i="31"/>
  <c r="AI263" i="31"/>
  <c r="AI240" i="31"/>
  <c r="AI100" i="31"/>
  <c r="AI150" i="31"/>
  <c r="AI295" i="31"/>
  <c r="AI281" i="31"/>
  <c r="AI160" i="31"/>
  <c r="AI111" i="31"/>
  <c r="AI112" i="31"/>
  <c r="AI193" i="31"/>
  <c r="AI141" i="31"/>
  <c r="AI304" i="31"/>
  <c r="AI292" i="31"/>
  <c r="AI282" i="31"/>
  <c r="AI223" i="31"/>
  <c r="AI291" i="31"/>
  <c r="AI208" i="31"/>
  <c r="AI177" i="31"/>
  <c r="AI210" i="31"/>
  <c r="AI272" i="31"/>
  <c r="AI273" i="31"/>
  <c r="AI268" i="31"/>
  <c r="AI301" i="31"/>
  <c r="AI149" i="31"/>
  <c r="AI284" i="31"/>
  <c r="AI164" i="31"/>
  <c r="AJ13" i="31"/>
  <c r="AJ14" i="31" s="1"/>
  <c r="AJ15" i="31" s="1"/>
  <c r="AJ16" i="31" s="1"/>
  <c r="AJ17" i="31" s="1"/>
  <c r="AJ18" i="31" s="1"/>
  <c r="AJ19" i="31" s="1"/>
  <c r="AJ20" i="31" s="1"/>
  <c r="AJ21" i="31" s="1"/>
  <c r="AJ22" i="31" s="1"/>
  <c r="AJ23" i="31" s="1"/>
  <c r="AJ24" i="31" s="1"/>
  <c r="AJ25" i="31" s="1"/>
  <c r="AJ26" i="31" s="1"/>
  <c r="AJ27" i="31" s="1"/>
  <c r="AJ28" i="31" s="1"/>
  <c r="AJ29" i="31" s="1"/>
  <c r="AJ30" i="31" s="1"/>
  <c r="AJ31" i="31" s="1"/>
  <c r="AJ32" i="31" s="1"/>
  <c r="AJ33" i="31" s="1"/>
  <c r="AJ34" i="31" s="1"/>
  <c r="AJ35" i="31" s="1"/>
  <c r="AJ36" i="31" s="1"/>
  <c r="AJ37" i="31" s="1"/>
  <c r="AJ38" i="31" s="1"/>
  <c r="AJ39" i="31" s="1"/>
  <c r="AJ40" i="31" s="1"/>
  <c r="AJ41" i="31" s="1"/>
  <c r="AJ42" i="31" s="1"/>
  <c r="AJ43" i="31" s="1"/>
  <c r="AJ44" i="31" s="1"/>
  <c r="AJ45" i="31" s="1"/>
  <c r="AJ46" i="31" s="1"/>
  <c r="AJ47" i="31" s="1"/>
  <c r="AJ48" i="31" s="1"/>
  <c r="AJ49" i="31" s="1"/>
  <c r="AJ50" i="31" s="1"/>
  <c r="AJ51" i="31" s="1"/>
  <c r="AJ52" i="31" s="1"/>
  <c r="AJ53" i="31" s="1"/>
  <c r="AJ54" i="31" s="1"/>
  <c r="AJ55" i="31" s="1"/>
  <c r="AJ56" i="31" s="1"/>
  <c r="AJ57" i="31" s="1"/>
  <c r="AJ58" i="31" s="1"/>
  <c r="AJ59" i="31" s="1"/>
  <c r="AJ60" i="31" s="1"/>
  <c r="AJ61" i="31" s="1"/>
  <c r="AJ62" i="31" s="1"/>
  <c r="AJ63" i="31" s="1"/>
  <c r="AJ64" i="31" s="1"/>
  <c r="AJ65" i="31" s="1"/>
  <c r="AJ66" i="31" s="1"/>
  <c r="AJ67" i="31" s="1"/>
  <c r="AJ68" i="31" s="1"/>
  <c r="AJ69" i="31" s="1"/>
  <c r="AJ70" i="31" s="1"/>
  <c r="AJ71" i="31" s="1"/>
  <c r="AJ72" i="31" s="1"/>
  <c r="AJ73" i="31" s="1"/>
  <c r="AJ74" i="31" s="1"/>
  <c r="AJ75" i="31" s="1"/>
  <c r="AJ76" i="31" s="1"/>
  <c r="AJ77" i="31" s="1"/>
  <c r="AJ78" i="31" s="1"/>
  <c r="AJ79" i="31" s="1"/>
  <c r="AJ80" i="31" s="1"/>
  <c r="AJ81" i="31" s="1"/>
  <c r="AJ82" i="31" s="1"/>
  <c r="AJ83" i="31" s="1"/>
  <c r="AJ84" i="31" s="1"/>
  <c r="AJ85" i="31" s="1"/>
  <c r="AJ86" i="31" s="1"/>
  <c r="AJ87" i="31" s="1"/>
  <c r="AJ88" i="31" s="1"/>
  <c r="AJ89" i="31" s="1"/>
  <c r="AJ90" i="31" s="1"/>
  <c r="AJ91" i="31" s="1"/>
  <c r="AJ92" i="31" s="1"/>
  <c r="AJ93" i="31" s="1"/>
  <c r="AJ94" i="31" s="1"/>
  <c r="AJ95" i="31" s="1"/>
  <c r="AJ96" i="31" s="1"/>
  <c r="AJ97" i="31" s="1"/>
  <c r="AJ98" i="31" s="1"/>
  <c r="AJ99" i="31" s="1"/>
  <c r="AJ100" i="31" s="1"/>
  <c r="AJ101" i="31" s="1"/>
  <c r="AJ102" i="31" s="1"/>
  <c r="AJ103" i="31" s="1"/>
  <c r="AJ104" i="31" s="1"/>
  <c r="AJ105" i="31" s="1"/>
  <c r="AJ106" i="31" s="1"/>
  <c r="AJ107" i="31" s="1"/>
  <c r="AJ108" i="31" s="1"/>
  <c r="AJ109" i="31" s="1"/>
  <c r="AJ110" i="31" s="1"/>
  <c r="AJ111" i="31" s="1"/>
  <c r="AJ112" i="31" s="1"/>
  <c r="AJ113" i="31" s="1"/>
  <c r="AJ114" i="31" s="1"/>
  <c r="AJ115" i="31" s="1"/>
  <c r="AJ116" i="31" s="1"/>
  <c r="AJ117" i="31" s="1"/>
  <c r="AJ118" i="31" s="1"/>
  <c r="AJ119" i="31" s="1"/>
  <c r="AJ120" i="31" s="1"/>
  <c r="AJ121" i="31" s="1"/>
  <c r="AJ122" i="31" s="1"/>
  <c r="AJ123" i="31" s="1"/>
  <c r="AJ124" i="31" s="1"/>
  <c r="AJ125" i="31" s="1"/>
  <c r="AJ126" i="31" s="1"/>
  <c r="AJ127" i="31" s="1"/>
  <c r="AJ128" i="31" s="1"/>
  <c r="AJ129" i="31" s="1"/>
  <c r="AJ130" i="31" s="1"/>
  <c r="AJ131" i="31" s="1"/>
  <c r="AJ132" i="31" s="1"/>
  <c r="AJ133" i="31" s="1"/>
  <c r="AJ134" i="31" s="1"/>
  <c r="AJ135" i="31" s="1"/>
  <c r="AJ136" i="31" s="1"/>
  <c r="AJ137" i="31" s="1"/>
  <c r="AJ138" i="31" s="1"/>
  <c r="AJ139" i="31" s="1"/>
  <c r="AJ140" i="31" s="1"/>
  <c r="AJ141" i="31" s="1"/>
  <c r="AJ142" i="31" s="1"/>
  <c r="AJ143" i="31" s="1"/>
  <c r="AJ144" i="31" s="1"/>
  <c r="AJ145" i="31" s="1"/>
  <c r="AJ146" i="31" s="1"/>
  <c r="AJ147" i="31" s="1"/>
  <c r="AJ148" i="31" s="1"/>
  <c r="AJ149" i="31" s="1"/>
  <c r="AJ150" i="31" s="1"/>
  <c r="AJ151" i="31" s="1"/>
  <c r="AJ152" i="31" s="1"/>
  <c r="AJ153" i="31" s="1"/>
  <c r="AJ154" i="31" s="1"/>
  <c r="AJ155" i="31" s="1"/>
  <c r="AJ156" i="31" s="1"/>
  <c r="AJ157" i="31" s="1"/>
  <c r="AJ158" i="31" s="1"/>
  <c r="AJ159" i="31" s="1"/>
  <c r="AJ160" i="31" s="1"/>
  <c r="AJ161" i="31" s="1"/>
  <c r="AJ162" i="31" s="1"/>
  <c r="AJ163" i="31" s="1"/>
  <c r="AJ164" i="31" s="1"/>
  <c r="AJ165" i="31" s="1"/>
  <c r="AJ166" i="31" s="1"/>
  <c r="AJ167" i="31" s="1"/>
  <c r="AJ168" i="31" s="1"/>
  <c r="AJ169" i="31" s="1"/>
  <c r="AJ170" i="31" s="1"/>
  <c r="AJ171" i="31" s="1"/>
  <c r="AJ172" i="31" s="1"/>
  <c r="AJ173" i="31" s="1"/>
  <c r="AJ174" i="31" s="1"/>
  <c r="AJ175" i="31" s="1"/>
  <c r="AJ176" i="31" s="1"/>
  <c r="AJ177" i="31" s="1"/>
  <c r="AJ178" i="31" s="1"/>
  <c r="AJ179" i="31" s="1"/>
  <c r="AJ180" i="31" s="1"/>
  <c r="AJ181" i="31" s="1"/>
  <c r="AJ182" i="31" s="1"/>
  <c r="AJ183" i="31" s="1"/>
  <c r="AJ184" i="31" s="1"/>
  <c r="AJ185" i="31" s="1"/>
  <c r="AJ186" i="31" s="1"/>
  <c r="AJ187" i="31" s="1"/>
  <c r="AJ188" i="31" s="1"/>
  <c r="AJ189" i="31" s="1"/>
  <c r="AJ190" i="31" s="1"/>
  <c r="AJ191" i="31" s="1"/>
  <c r="AJ192" i="31" s="1"/>
  <c r="AJ193" i="31" s="1"/>
  <c r="AJ194" i="31" s="1"/>
  <c r="AJ195" i="31" s="1"/>
  <c r="AJ196" i="31" s="1"/>
  <c r="AJ197" i="31" s="1"/>
  <c r="AJ198" i="31" s="1"/>
  <c r="AJ199" i="31" s="1"/>
  <c r="AJ200" i="31" s="1"/>
  <c r="AJ201" i="31" s="1"/>
  <c r="AJ202" i="31" s="1"/>
  <c r="AJ203" i="31" s="1"/>
  <c r="AJ204" i="31" s="1"/>
  <c r="AJ205" i="31" s="1"/>
  <c r="AJ206" i="31" s="1"/>
  <c r="AJ207" i="31" s="1"/>
  <c r="AJ208" i="31" s="1"/>
  <c r="AJ209" i="31" s="1"/>
  <c r="AJ210" i="31" s="1"/>
  <c r="AJ211" i="31" s="1"/>
  <c r="AJ212" i="31" s="1"/>
  <c r="AJ213" i="31" s="1"/>
  <c r="AJ214" i="31" s="1"/>
  <c r="AJ215" i="31" s="1"/>
  <c r="AJ216" i="31" s="1"/>
  <c r="AJ217" i="31" s="1"/>
  <c r="AJ218" i="31" s="1"/>
  <c r="AJ219" i="31" s="1"/>
  <c r="AJ220" i="31" s="1"/>
  <c r="AJ221" i="31" s="1"/>
  <c r="AJ222" i="31" s="1"/>
  <c r="AJ223" i="31" s="1"/>
  <c r="AJ224" i="31" s="1"/>
  <c r="AJ225" i="31" s="1"/>
  <c r="AJ226" i="31" s="1"/>
  <c r="AJ227" i="31" s="1"/>
  <c r="AJ228" i="31" s="1"/>
  <c r="AJ229" i="31" s="1"/>
  <c r="AJ230" i="31" s="1"/>
  <c r="AJ231" i="31" s="1"/>
  <c r="AJ232" i="31" s="1"/>
  <c r="AJ233" i="31" s="1"/>
  <c r="AJ234" i="31" s="1"/>
  <c r="AJ235" i="31" s="1"/>
  <c r="AJ236" i="31" s="1"/>
  <c r="AJ237" i="31" s="1"/>
  <c r="AJ238" i="31" s="1"/>
  <c r="AJ239" i="31" s="1"/>
  <c r="AJ240" i="31" s="1"/>
  <c r="AJ241" i="31" s="1"/>
  <c r="AJ242" i="31" s="1"/>
  <c r="AJ243" i="31" s="1"/>
  <c r="AJ244" i="31" s="1"/>
  <c r="AJ245" i="31" s="1"/>
  <c r="AJ246" i="31" s="1"/>
  <c r="AJ247" i="31" s="1"/>
  <c r="AJ248" i="31" s="1"/>
  <c r="AJ249" i="31" s="1"/>
  <c r="AJ250" i="31" s="1"/>
  <c r="AJ251" i="31" s="1"/>
  <c r="AJ252" i="31" s="1"/>
  <c r="AJ253" i="31" s="1"/>
  <c r="AJ254" i="31" s="1"/>
  <c r="AJ255" i="31" s="1"/>
  <c r="AJ256" i="31" s="1"/>
  <c r="AJ257" i="31" s="1"/>
  <c r="AJ258" i="31" s="1"/>
  <c r="AJ259" i="31" s="1"/>
  <c r="AJ260" i="31" s="1"/>
  <c r="AJ261" i="31" s="1"/>
  <c r="AJ262" i="31" s="1"/>
  <c r="AJ263" i="31" s="1"/>
  <c r="AJ264" i="31" s="1"/>
  <c r="AJ265" i="31" s="1"/>
  <c r="AJ266" i="31" s="1"/>
  <c r="AJ267" i="31" s="1"/>
  <c r="AJ268" i="31" s="1"/>
  <c r="AJ269" i="31" s="1"/>
  <c r="AJ270" i="31" s="1"/>
  <c r="AJ271" i="31" s="1"/>
  <c r="AJ272" i="31" s="1"/>
  <c r="AJ273" i="31" s="1"/>
  <c r="AJ274" i="31" s="1"/>
  <c r="AJ275" i="31" s="1"/>
  <c r="AJ276" i="31" s="1"/>
  <c r="AJ277" i="31" s="1"/>
  <c r="AJ278" i="31" s="1"/>
  <c r="AJ279" i="31" s="1"/>
  <c r="AJ280" i="31" s="1"/>
  <c r="AJ281" i="31" s="1"/>
  <c r="AJ282" i="31" s="1"/>
  <c r="AJ283" i="31" s="1"/>
  <c r="AJ284" i="31" s="1"/>
  <c r="AJ285" i="31" s="1"/>
  <c r="AJ286" i="31" s="1"/>
  <c r="AJ287" i="31" s="1"/>
  <c r="AJ288" i="31" s="1"/>
  <c r="AJ289" i="31" s="1"/>
  <c r="AJ290" i="31" s="1"/>
  <c r="AJ291" i="31" s="1"/>
  <c r="AJ292" i="31" s="1"/>
  <c r="AJ293" i="31" s="1"/>
  <c r="AJ294" i="31" s="1"/>
  <c r="AJ295" i="31" s="1"/>
  <c r="AJ296" i="31" s="1"/>
  <c r="AJ297" i="31" s="1"/>
  <c r="AJ298" i="31" s="1"/>
  <c r="AJ299" i="31" s="1"/>
  <c r="AJ300" i="31" s="1"/>
  <c r="AJ301" i="31" s="1"/>
  <c r="AJ302" i="31" s="1"/>
  <c r="AJ303" i="31" s="1"/>
  <c r="AJ304" i="31" s="1"/>
  <c r="AJ305" i="31" s="1"/>
  <c r="AJ306" i="31" s="1"/>
  <c r="AJ307" i="31" s="1"/>
  <c r="AJ308" i="31" s="1"/>
  <c r="AJ309" i="31" s="1"/>
  <c r="AJ310" i="31" s="1"/>
  <c r="AJ311" i="31" s="1"/>
  <c r="AJ312" i="31" s="1"/>
  <c r="AJ313" i="31" s="1"/>
  <c r="AJ314" i="31" s="1"/>
  <c r="AJ315" i="31" s="1"/>
  <c r="AJ316" i="31" s="1"/>
  <c r="AJ317" i="31" s="1"/>
  <c r="AJ318" i="31" s="1"/>
  <c r="AJ319" i="31" s="1"/>
  <c r="AJ320" i="31" s="1"/>
  <c r="AJ321" i="31" s="1"/>
  <c r="AJ322" i="31" s="1"/>
  <c r="AJ323" i="31" s="1"/>
  <c r="AJ324" i="31" s="1"/>
  <c r="AJ325" i="31" s="1"/>
  <c r="AJ326" i="31" s="1"/>
  <c r="AJ327" i="31" s="1"/>
  <c r="AJ328" i="31" s="1"/>
  <c r="AJ329" i="31" s="1"/>
  <c r="AJ330" i="31" s="1"/>
  <c r="AJ331" i="31" s="1"/>
  <c r="AJ332" i="31" s="1"/>
  <c r="AJ333" i="31" s="1"/>
  <c r="AJ334" i="31" s="1"/>
  <c r="AJ335" i="31" s="1"/>
  <c r="AJ336" i="31" s="1"/>
  <c r="AJ337" i="31" s="1"/>
  <c r="AJ338" i="31" s="1"/>
  <c r="AJ339" i="31" s="1"/>
  <c r="AJ340" i="31" s="1"/>
  <c r="AJ341" i="31" s="1"/>
  <c r="AJ342" i="31" s="1"/>
  <c r="AJ343" i="31" s="1"/>
  <c r="AJ344" i="31" s="1"/>
  <c r="AJ345" i="31" s="1"/>
  <c r="AJ346" i="31" s="1"/>
  <c r="AJ347" i="31" s="1"/>
  <c r="AJ348" i="31" s="1"/>
  <c r="AJ349" i="31" s="1"/>
  <c r="AJ350" i="31" s="1"/>
  <c r="AJ351" i="31" s="1"/>
  <c r="AJ352" i="31" s="1"/>
  <c r="AJ353" i="31" s="1"/>
  <c r="AJ354" i="31" s="1"/>
  <c r="AJ355" i="31" s="1"/>
  <c r="AJ356" i="31" s="1"/>
  <c r="AJ357" i="31" s="1"/>
  <c r="AJ358" i="31" s="1"/>
  <c r="AJ359" i="31" s="1"/>
  <c r="AJ360" i="31" s="1"/>
  <c r="AJ361" i="31" s="1"/>
  <c r="AJ362" i="31" s="1"/>
  <c r="AJ363" i="31" s="1"/>
  <c r="AJ364" i="31" s="1"/>
  <c r="AJ365" i="31" s="1"/>
  <c r="AJ366" i="31" s="1"/>
  <c r="AJ367" i="31" s="1"/>
  <c r="AJ368" i="31" s="1"/>
  <c r="AJ369" i="31" s="1"/>
  <c r="AJ370" i="31" s="1"/>
  <c r="AJ371" i="31" s="1"/>
  <c r="AJ372" i="31" s="1"/>
  <c r="AJ373" i="31" s="1"/>
  <c r="AJ374" i="31" s="1"/>
  <c r="AJ375" i="31" s="1"/>
  <c r="AJ376" i="31" s="1"/>
  <c r="AJ377" i="31" s="1"/>
  <c r="AJ378" i="31" s="1"/>
  <c r="AJ379" i="31" s="1"/>
  <c r="AJ380" i="31" s="1"/>
  <c r="AJ381" i="31" s="1"/>
  <c r="AJ382" i="31" s="1"/>
  <c r="AJ383" i="31" s="1"/>
  <c r="AJ384" i="31" s="1"/>
  <c r="AJ385" i="31" s="1"/>
  <c r="AJ386" i="31" s="1"/>
  <c r="AJ387" i="31" s="1"/>
  <c r="AJ388" i="31" s="1"/>
  <c r="AJ389" i="31" s="1"/>
  <c r="AJ390" i="31" s="1"/>
  <c r="AJ391" i="31" s="1"/>
  <c r="AJ392" i="31" s="1"/>
  <c r="AJ393" i="31" s="1"/>
  <c r="AJ394" i="31" s="1"/>
  <c r="AJ395" i="31" s="1"/>
  <c r="AJ396" i="31" s="1"/>
  <c r="AJ397" i="31" s="1"/>
  <c r="AJ398" i="31" s="1"/>
  <c r="AJ399" i="31" s="1"/>
  <c r="AJ400" i="31" s="1"/>
  <c r="AJ401" i="31" s="1"/>
  <c r="AJ402" i="31" s="1"/>
  <c r="AJ403" i="31" s="1"/>
  <c r="AJ404" i="31" s="1"/>
  <c r="AJ405" i="31" s="1"/>
  <c r="AJ406" i="31" s="1"/>
  <c r="AJ407" i="31" s="1"/>
  <c r="AJ408" i="31" s="1"/>
  <c r="AJ409" i="31" s="1"/>
  <c r="AJ410" i="31" s="1"/>
  <c r="AJ411" i="31" s="1"/>
  <c r="AJ412" i="31" s="1"/>
  <c r="AJ413" i="31" s="1"/>
  <c r="AJ414" i="31" s="1"/>
  <c r="AJ415" i="31" s="1"/>
  <c r="AJ416" i="31" s="1"/>
  <c r="AJ417" i="31" s="1"/>
  <c r="AJ418" i="31" s="1"/>
  <c r="AJ419" i="31" s="1"/>
  <c r="AJ420" i="31" s="1"/>
  <c r="AJ421" i="31" s="1"/>
  <c r="AJ422" i="31" s="1"/>
  <c r="AJ423" i="31" s="1"/>
  <c r="AJ424" i="31" s="1"/>
  <c r="AJ425" i="31" s="1"/>
  <c r="AJ426" i="31" s="1"/>
  <c r="AJ427" i="31" s="1"/>
  <c r="AJ428" i="31" s="1"/>
  <c r="AJ429" i="31" s="1"/>
  <c r="AJ430" i="31" s="1"/>
  <c r="AJ431" i="31" s="1"/>
  <c r="AJ432" i="31" s="1"/>
  <c r="AJ433" i="31" s="1"/>
  <c r="AJ434" i="31" s="1"/>
  <c r="AJ435" i="31" s="1"/>
  <c r="AJ436" i="31" s="1"/>
  <c r="AJ437" i="31" s="1"/>
  <c r="AJ438" i="31" s="1"/>
  <c r="AJ439" i="31" s="1"/>
  <c r="AJ440" i="31" s="1"/>
  <c r="AJ441" i="31" s="1"/>
  <c r="AJ442" i="31" s="1"/>
  <c r="AJ443" i="31" s="1"/>
  <c r="AJ444" i="31" s="1"/>
  <c r="AJ445" i="31" s="1"/>
  <c r="AJ446" i="31" s="1"/>
  <c r="AJ447" i="31" s="1"/>
  <c r="AJ448" i="31" s="1"/>
  <c r="AJ449" i="31" s="1"/>
  <c r="AJ450" i="31" s="1"/>
  <c r="AJ451" i="31" s="1"/>
  <c r="AJ452" i="31" s="1"/>
  <c r="AJ453" i="31" s="1"/>
  <c r="AJ454" i="31" s="1"/>
  <c r="AJ455" i="31" s="1"/>
  <c r="AJ456" i="31" s="1"/>
  <c r="AJ457" i="31" s="1"/>
  <c r="AJ458" i="31" s="1"/>
  <c r="AJ459" i="31" s="1"/>
  <c r="AJ460" i="31" s="1"/>
  <c r="AJ461" i="31" s="1"/>
  <c r="AJ462" i="31" s="1"/>
  <c r="AJ463" i="31" s="1"/>
  <c r="AJ464" i="31" s="1"/>
  <c r="AJ465" i="31" s="1"/>
  <c r="AJ466" i="31" s="1"/>
  <c r="AJ467" i="31" s="1"/>
  <c r="AJ468" i="31" s="1"/>
  <c r="AJ469" i="31" s="1"/>
  <c r="AJ470" i="31" s="1"/>
  <c r="AJ471" i="31" s="1"/>
  <c r="AJ472" i="31" s="1"/>
  <c r="AJ473" i="31" s="1"/>
  <c r="AJ474" i="31" s="1"/>
  <c r="AJ475" i="31" s="1"/>
  <c r="AJ476" i="31" s="1"/>
  <c r="AJ477" i="31" s="1"/>
  <c r="AJ478" i="31" s="1"/>
  <c r="AJ479" i="31" s="1"/>
  <c r="AJ480" i="31" s="1"/>
  <c r="AJ481" i="31" s="1"/>
  <c r="AJ482" i="31" s="1"/>
  <c r="AJ483" i="31" s="1"/>
  <c r="AJ484" i="31" s="1"/>
  <c r="AJ485" i="31" s="1"/>
  <c r="AJ486" i="31" s="1"/>
  <c r="AJ487" i="31" s="1"/>
  <c r="AJ488" i="31" s="1"/>
  <c r="AJ489" i="31" s="1"/>
  <c r="AJ490" i="31" s="1"/>
  <c r="AJ491" i="31" s="1"/>
  <c r="AJ492" i="31" s="1"/>
  <c r="AJ493" i="31" s="1"/>
  <c r="AJ494" i="31" s="1"/>
  <c r="AJ495" i="31" s="1"/>
  <c r="AJ496" i="31" s="1"/>
  <c r="AJ497" i="31" s="1"/>
  <c r="AJ498" i="31" s="1"/>
  <c r="AJ499" i="31" s="1"/>
  <c r="AJ500" i="31" s="1"/>
  <c r="AJ501" i="31" s="1"/>
  <c r="AJ502" i="31" s="1"/>
  <c r="AJ503" i="31" s="1"/>
  <c r="AJ504" i="31" s="1"/>
  <c r="AJ505" i="31" s="1"/>
  <c r="AJ506" i="31" s="1"/>
  <c r="AJ507" i="31" s="1"/>
  <c r="AJ508" i="31" s="1"/>
  <c r="AJ509" i="31" s="1"/>
  <c r="AJ510" i="31" s="1"/>
  <c r="AJ511" i="31" s="1"/>
  <c r="AJ512" i="31" s="1"/>
  <c r="AJ513" i="31" s="1"/>
  <c r="AJ514" i="31" s="1"/>
  <c r="AJ515" i="31" s="1"/>
  <c r="AJ516" i="31" s="1"/>
  <c r="AJ517" i="31" s="1"/>
  <c r="AJ518" i="31" s="1"/>
  <c r="AJ519" i="31" s="1"/>
  <c r="AJ520" i="31" s="1"/>
  <c r="AJ521" i="31" s="1"/>
  <c r="AJ522" i="31" s="1"/>
  <c r="AJ523" i="31" s="1"/>
  <c r="AJ524" i="31" s="1"/>
  <c r="AJ525" i="31" s="1"/>
  <c r="AJ526" i="31" s="1"/>
  <c r="AJ527" i="31" s="1"/>
  <c r="AJ528" i="31" s="1"/>
  <c r="AJ529" i="31" s="1"/>
  <c r="AJ530" i="31" s="1"/>
  <c r="AJ531" i="31" s="1"/>
  <c r="AJ532" i="31" s="1"/>
  <c r="AJ533" i="31" s="1"/>
  <c r="AJ534" i="31" s="1"/>
  <c r="AJ535" i="31" s="1"/>
  <c r="AJ536" i="31" s="1"/>
  <c r="AJ537" i="31" s="1"/>
  <c r="AJ538" i="31" s="1"/>
  <c r="AJ539" i="31" s="1"/>
  <c r="AJ540" i="31" s="1"/>
  <c r="AJ541" i="31" s="1"/>
  <c r="AJ542" i="31" s="1"/>
  <c r="AJ543" i="31" s="1"/>
  <c r="AJ544" i="31" s="1"/>
  <c r="AJ545" i="31" s="1"/>
  <c r="AJ546" i="31" s="1"/>
  <c r="AJ547" i="31" s="1"/>
  <c r="AJ548" i="31" s="1"/>
  <c r="AJ549" i="31" s="1"/>
  <c r="AJ550" i="31" s="1"/>
  <c r="AJ551" i="31" s="1"/>
  <c r="AJ552" i="31" s="1"/>
  <c r="AJ553" i="31" s="1"/>
  <c r="AJ554" i="31" s="1"/>
  <c r="AJ555" i="31" s="1"/>
  <c r="AJ556" i="31" s="1"/>
  <c r="AJ557" i="31" s="1"/>
  <c r="AJ558" i="31" s="1"/>
  <c r="AJ559" i="31" s="1"/>
  <c r="AJ560" i="31" s="1"/>
  <c r="AJ561" i="31" s="1"/>
  <c r="AJ562" i="31" s="1"/>
  <c r="AJ563" i="31" s="1"/>
  <c r="AJ564" i="31" s="1"/>
  <c r="AJ565" i="31" s="1"/>
  <c r="AJ566" i="31" s="1"/>
  <c r="AJ567" i="31" s="1"/>
  <c r="AJ568" i="31" s="1"/>
  <c r="AJ569" i="31" s="1"/>
  <c r="AJ570" i="31" s="1"/>
  <c r="AJ571" i="31" s="1"/>
  <c r="AJ572" i="31" s="1"/>
  <c r="AJ573" i="31" s="1"/>
  <c r="AJ574" i="31" s="1"/>
  <c r="AJ575" i="31" s="1"/>
  <c r="AJ576" i="31" s="1"/>
  <c r="AJ577" i="31" s="1"/>
  <c r="AJ578" i="31" s="1"/>
  <c r="AJ579" i="31" s="1"/>
  <c r="AJ580" i="31" s="1"/>
  <c r="AJ581" i="31" s="1"/>
  <c r="AJ582" i="31" s="1"/>
  <c r="AJ583" i="31" s="1"/>
  <c r="AJ584" i="31" s="1"/>
  <c r="AJ585" i="31" s="1"/>
  <c r="AJ586" i="31" s="1"/>
  <c r="AJ587" i="31" s="1"/>
  <c r="AJ588" i="31" s="1"/>
  <c r="AJ589" i="31" s="1"/>
  <c r="AJ590" i="31" s="1"/>
  <c r="AJ591" i="31" s="1"/>
  <c r="AJ592" i="31" s="1"/>
  <c r="AJ593" i="31" s="1"/>
  <c r="AJ594" i="31" s="1"/>
  <c r="AJ595" i="31" s="1"/>
  <c r="AJ596" i="31" s="1"/>
  <c r="AJ597" i="31" s="1"/>
  <c r="AJ598" i="31" s="1"/>
  <c r="AJ599" i="31" s="1"/>
  <c r="AJ600" i="31" s="1"/>
  <c r="AJ601" i="31" s="1"/>
  <c r="AJ602" i="31" s="1"/>
  <c r="AJ603" i="31" s="1"/>
  <c r="AJ604" i="31" s="1"/>
  <c r="AJ605" i="31" s="1"/>
  <c r="AJ606" i="31" s="1"/>
  <c r="AJ607" i="31" s="1"/>
  <c r="AJ608" i="31" s="1"/>
  <c r="AJ609" i="31" s="1"/>
  <c r="AJ610" i="31" s="1"/>
  <c r="AJ611" i="31" s="1"/>
  <c r="AJ612" i="31" s="1"/>
  <c r="AI13" i="31"/>
  <c r="AI14" i="31"/>
  <c r="AI26" i="31"/>
  <c r="AI38" i="31"/>
  <c r="AI50" i="31"/>
  <c r="AI62" i="31"/>
  <c r="AI15" i="31"/>
  <c r="AI27" i="31"/>
  <c r="AI39" i="31"/>
  <c r="AI51" i="31"/>
  <c r="AI63" i="31"/>
  <c r="AI19" i="31"/>
  <c r="AI31" i="31"/>
  <c r="AI43" i="31"/>
  <c r="AI55" i="31"/>
  <c r="AI67" i="31"/>
  <c r="AI16" i="31"/>
  <c r="AI32" i="31"/>
  <c r="AI47" i="31"/>
  <c r="AI64" i="31"/>
  <c r="AI18" i="31"/>
  <c r="AI49" i="31"/>
  <c r="AI35" i="31"/>
  <c r="AI52" i="31"/>
  <c r="AI68" i="31"/>
  <c r="AI17" i="31"/>
  <c r="AI33" i="31"/>
  <c r="AI48" i="31"/>
  <c r="AI65" i="31"/>
  <c r="AI34" i="31"/>
  <c r="AI66" i="31"/>
  <c r="AI20" i="31"/>
  <c r="AI21" i="31"/>
  <c r="AI42" i="31"/>
  <c r="AI69" i="31"/>
  <c r="AI22" i="31"/>
  <c r="AI44" i="31"/>
  <c r="AI70" i="31"/>
  <c r="AI23" i="31"/>
  <c r="AI45" i="31"/>
  <c r="AI71" i="31"/>
  <c r="AI24" i="31"/>
  <c r="AI46" i="31"/>
  <c r="AI72" i="31"/>
  <c r="AI25" i="31"/>
  <c r="AI53" i="31"/>
  <c r="AI28" i="31"/>
  <c r="AI54" i="31"/>
  <c r="AI29" i="31"/>
  <c r="AI56" i="31"/>
  <c r="AI30" i="31"/>
  <c r="AI57" i="31"/>
  <c r="AI36" i="31"/>
  <c r="AI58" i="31"/>
  <c r="AI37" i="31"/>
  <c r="AI59" i="31"/>
  <c r="AI40" i="31"/>
  <c r="AI41" i="31"/>
  <c r="AI60" i="31"/>
  <c r="AI61" i="31"/>
  <c r="O14" i="31" l="1"/>
  <c r="AL14" i="31" s="1"/>
  <c r="O26" i="31"/>
  <c r="AL26" i="31" s="1"/>
  <c r="O38" i="31"/>
  <c r="AL38" i="31" s="1"/>
  <c r="O50" i="31"/>
  <c r="AL50" i="31" s="1"/>
  <c r="O62" i="31"/>
  <c r="AL62" i="31" s="1"/>
  <c r="O74" i="31"/>
  <c r="AL74" i="31" s="1"/>
  <c r="O86" i="31"/>
  <c r="AL86" i="31" s="1"/>
  <c r="O98" i="31"/>
  <c r="AL98" i="31" s="1"/>
  <c r="O110" i="31"/>
  <c r="AL110" i="31" s="1"/>
  <c r="O122" i="31"/>
  <c r="AL122" i="31" s="1"/>
  <c r="O134" i="31"/>
  <c r="AL134" i="31" s="1"/>
  <c r="O146" i="31"/>
  <c r="AL146" i="31" s="1"/>
  <c r="O158" i="31"/>
  <c r="AL158" i="31" s="1"/>
  <c r="O15" i="31"/>
  <c r="AL15" i="31" s="1"/>
  <c r="O27" i="31"/>
  <c r="AL27" i="31" s="1"/>
  <c r="O39" i="31"/>
  <c r="AL39" i="31" s="1"/>
  <c r="O51" i="31"/>
  <c r="AL51" i="31" s="1"/>
  <c r="O63" i="31"/>
  <c r="AL63" i="31" s="1"/>
  <c r="O75" i="31"/>
  <c r="AL75" i="31" s="1"/>
  <c r="O87" i="31"/>
  <c r="AL87" i="31" s="1"/>
  <c r="O99" i="31"/>
  <c r="AL99" i="31" s="1"/>
  <c r="O111" i="31"/>
  <c r="AL111" i="31" s="1"/>
  <c r="O123" i="31"/>
  <c r="AL123" i="31" s="1"/>
  <c r="O135" i="31"/>
  <c r="AL135" i="31" s="1"/>
  <c r="O147" i="31"/>
  <c r="AL147" i="31" s="1"/>
  <c r="O159" i="31"/>
  <c r="AL159" i="31" s="1"/>
  <c r="O171" i="31"/>
  <c r="AL171" i="31" s="1"/>
  <c r="O183" i="31"/>
  <c r="AL183" i="31" s="1"/>
  <c r="O195" i="31"/>
  <c r="AL195" i="31" s="1"/>
  <c r="O207" i="31"/>
  <c r="AL207" i="31" s="1"/>
  <c r="O219" i="31"/>
  <c r="AL219" i="31" s="1"/>
  <c r="O231" i="31"/>
  <c r="AL231" i="31" s="1"/>
  <c r="O243" i="31"/>
  <c r="AL243" i="31" s="1"/>
  <c r="O255" i="31"/>
  <c r="AL255" i="31" s="1"/>
  <c r="O267" i="31"/>
  <c r="AL267" i="31" s="1"/>
  <c r="O279" i="31"/>
  <c r="AL279" i="31" s="1"/>
  <c r="O291" i="31"/>
  <c r="AL291" i="31" s="1"/>
  <c r="O303" i="31"/>
  <c r="AL303" i="31" s="1"/>
  <c r="O315" i="31"/>
  <c r="AL315" i="31" s="1"/>
  <c r="O327" i="31"/>
  <c r="AL327" i="31" s="1"/>
  <c r="O339" i="31"/>
  <c r="AL339" i="31" s="1"/>
  <c r="O351" i="31"/>
  <c r="AL351" i="31" s="1"/>
  <c r="O363" i="31"/>
  <c r="AL363" i="31" s="1"/>
  <c r="O375" i="31"/>
  <c r="AL375" i="31" s="1"/>
  <c r="O387" i="31"/>
  <c r="AL387" i="31" s="1"/>
  <c r="O399" i="31"/>
  <c r="AL399" i="31" s="1"/>
  <c r="O411" i="31"/>
  <c r="AL411" i="31" s="1"/>
  <c r="O423" i="31"/>
  <c r="AL423" i="31" s="1"/>
  <c r="O22" i="31"/>
  <c r="AL22" i="31" s="1"/>
  <c r="O36" i="31"/>
  <c r="AL36" i="31" s="1"/>
  <c r="O52" i="31"/>
  <c r="AL52" i="31" s="1"/>
  <c r="O66" i="31"/>
  <c r="AL66" i="31" s="1"/>
  <c r="O80" i="31"/>
  <c r="AL80" i="31" s="1"/>
  <c r="O94" i="31"/>
  <c r="AL94" i="31" s="1"/>
  <c r="O108" i="31"/>
  <c r="AL108" i="31" s="1"/>
  <c r="O124" i="31"/>
  <c r="AL124" i="31" s="1"/>
  <c r="O138" i="31"/>
  <c r="AL138" i="31" s="1"/>
  <c r="O152" i="31"/>
  <c r="AL152" i="31" s="1"/>
  <c r="O166" i="31"/>
  <c r="AL166" i="31" s="1"/>
  <c r="O179" i="31"/>
  <c r="AL179" i="31" s="1"/>
  <c r="O192" i="31"/>
  <c r="AL192" i="31" s="1"/>
  <c r="O205" i="31"/>
  <c r="AL205" i="31" s="1"/>
  <c r="O218" i="31"/>
  <c r="AL218" i="31" s="1"/>
  <c r="O232" i="31"/>
  <c r="AL232" i="31" s="1"/>
  <c r="O245" i="31"/>
  <c r="AL245" i="31" s="1"/>
  <c r="O258" i="31"/>
  <c r="AL258" i="31" s="1"/>
  <c r="O271" i="31"/>
  <c r="AL271" i="31" s="1"/>
  <c r="O284" i="31"/>
  <c r="AL284" i="31" s="1"/>
  <c r="O297" i="31"/>
  <c r="AL297" i="31" s="1"/>
  <c r="O310" i="31"/>
  <c r="AL310" i="31" s="1"/>
  <c r="O323" i="31"/>
  <c r="AL323" i="31" s="1"/>
  <c r="O336" i="31"/>
  <c r="AL336" i="31" s="1"/>
  <c r="O349" i="31"/>
  <c r="AL349" i="31" s="1"/>
  <c r="O362" i="31"/>
  <c r="AL362" i="31" s="1"/>
  <c r="O376" i="31"/>
  <c r="AL376" i="31" s="1"/>
  <c r="O389" i="31"/>
  <c r="AL389" i="31" s="1"/>
  <c r="O402" i="31"/>
  <c r="AL402" i="31" s="1"/>
  <c r="O415" i="31"/>
  <c r="AL415" i="31" s="1"/>
  <c r="O428" i="31"/>
  <c r="AL428" i="31" s="1"/>
  <c r="O440" i="31"/>
  <c r="AL440" i="31" s="1"/>
  <c r="O452" i="31"/>
  <c r="AL452" i="31" s="1"/>
  <c r="O464" i="31"/>
  <c r="AL464" i="31" s="1"/>
  <c r="O476" i="31"/>
  <c r="AL476" i="31" s="1"/>
  <c r="O488" i="31"/>
  <c r="AL488" i="31" s="1"/>
  <c r="O500" i="31"/>
  <c r="AL500" i="31" s="1"/>
  <c r="O512" i="31"/>
  <c r="AL512" i="31" s="1"/>
  <c r="O524" i="31"/>
  <c r="AL524" i="31" s="1"/>
  <c r="O536" i="31"/>
  <c r="AL536" i="31" s="1"/>
  <c r="O548" i="31"/>
  <c r="AL548" i="31" s="1"/>
  <c r="O560" i="31"/>
  <c r="AL560" i="31" s="1"/>
  <c r="O572" i="31"/>
  <c r="AL572" i="31" s="1"/>
  <c r="O584" i="31"/>
  <c r="AL584" i="31" s="1"/>
  <c r="O596" i="31"/>
  <c r="AL596" i="31" s="1"/>
  <c r="O608" i="31"/>
  <c r="AL608" i="31" s="1"/>
  <c r="O24" i="31"/>
  <c r="AL24" i="31" s="1"/>
  <c r="O40" i="31"/>
  <c r="AL40" i="31" s="1"/>
  <c r="O54" i="31"/>
  <c r="AL54" i="31" s="1"/>
  <c r="O68" i="31"/>
  <c r="AL68" i="31" s="1"/>
  <c r="O82" i="31"/>
  <c r="AL82" i="31" s="1"/>
  <c r="O96" i="31"/>
  <c r="AL96" i="31" s="1"/>
  <c r="O112" i="31"/>
  <c r="AL112" i="31" s="1"/>
  <c r="O126" i="31"/>
  <c r="AL126" i="31" s="1"/>
  <c r="O140" i="31"/>
  <c r="AL140" i="31" s="1"/>
  <c r="O154" i="31"/>
  <c r="AL154" i="31" s="1"/>
  <c r="O168" i="31"/>
  <c r="AL168" i="31" s="1"/>
  <c r="O181" i="31"/>
  <c r="AL181" i="31" s="1"/>
  <c r="O194" i="31"/>
  <c r="AL194" i="31" s="1"/>
  <c r="O208" i="31"/>
  <c r="AL208" i="31" s="1"/>
  <c r="O221" i="31"/>
  <c r="AL221" i="31" s="1"/>
  <c r="O234" i="31"/>
  <c r="AL234" i="31" s="1"/>
  <c r="O247" i="31"/>
  <c r="AL247" i="31" s="1"/>
  <c r="O260" i="31"/>
  <c r="AL260" i="31" s="1"/>
  <c r="O273" i="31"/>
  <c r="AL273" i="31" s="1"/>
  <c r="O286" i="31"/>
  <c r="AL286" i="31" s="1"/>
  <c r="O299" i="31"/>
  <c r="AL299" i="31" s="1"/>
  <c r="O28" i="31"/>
  <c r="AL28" i="31" s="1"/>
  <c r="O44" i="31"/>
  <c r="AL44" i="31" s="1"/>
  <c r="O60" i="31"/>
  <c r="AL60" i="31" s="1"/>
  <c r="O78" i="31"/>
  <c r="AL78" i="31" s="1"/>
  <c r="O95" i="31"/>
  <c r="AL95" i="31" s="1"/>
  <c r="O114" i="31"/>
  <c r="AL114" i="31" s="1"/>
  <c r="O130" i="31"/>
  <c r="AL130" i="31" s="1"/>
  <c r="O148" i="31"/>
  <c r="AL148" i="31" s="1"/>
  <c r="O164" i="31"/>
  <c r="AL164" i="31" s="1"/>
  <c r="O180" i="31"/>
  <c r="AL180" i="31" s="1"/>
  <c r="O197" i="31"/>
  <c r="AL197" i="31" s="1"/>
  <c r="O212" i="31"/>
  <c r="AL212" i="31" s="1"/>
  <c r="O227" i="31"/>
  <c r="AL227" i="31" s="1"/>
  <c r="O242" i="31"/>
  <c r="AL242" i="31" s="1"/>
  <c r="O259" i="31"/>
  <c r="AL259" i="31" s="1"/>
  <c r="O275" i="31"/>
  <c r="AL275" i="31" s="1"/>
  <c r="O290" i="31"/>
  <c r="AL290" i="31" s="1"/>
  <c r="O306" i="31"/>
  <c r="AL306" i="31" s="1"/>
  <c r="O320" i="31"/>
  <c r="AL320" i="31" s="1"/>
  <c r="O334" i="31"/>
  <c r="AL334" i="31" s="1"/>
  <c r="O348" i="31"/>
  <c r="AL348" i="31" s="1"/>
  <c r="O364" i="31"/>
  <c r="AL364" i="31" s="1"/>
  <c r="O378" i="31"/>
  <c r="AL378" i="31" s="1"/>
  <c r="O392" i="31"/>
  <c r="AL392" i="31" s="1"/>
  <c r="O406" i="31"/>
  <c r="AL406" i="31" s="1"/>
  <c r="O420" i="31"/>
  <c r="AL420" i="31" s="1"/>
  <c r="O434" i="31"/>
  <c r="AL434" i="31" s="1"/>
  <c r="O447" i="31"/>
  <c r="AL447" i="31" s="1"/>
  <c r="O460" i="31"/>
  <c r="AL460" i="31" s="1"/>
  <c r="O473" i="31"/>
  <c r="AL473" i="31" s="1"/>
  <c r="O486" i="31"/>
  <c r="AL486" i="31" s="1"/>
  <c r="O499" i="31"/>
  <c r="AL499" i="31" s="1"/>
  <c r="O513" i="31"/>
  <c r="AL513" i="31" s="1"/>
  <c r="O526" i="31"/>
  <c r="AL526" i="31" s="1"/>
  <c r="O539" i="31"/>
  <c r="AL539" i="31" s="1"/>
  <c r="O552" i="31"/>
  <c r="AL552" i="31" s="1"/>
  <c r="O565" i="31"/>
  <c r="AL565" i="31" s="1"/>
  <c r="O578" i="31"/>
  <c r="AL578" i="31" s="1"/>
  <c r="O591" i="31"/>
  <c r="AL591" i="31" s="1"/>
  <c r="O604" i="31"/>
  <c r="AL604" i="31" s="1"/>
  <c r="O29" i="31"/>
  <c r="AL29" i="31" s="1"/>
  <c r="O45" i="31"/>
  <c r="AL45" i="31" s="1"/>
  <c r="O61" i="31"/>
  <c r="AL61" i="31" s="1"/>
  <c r="O79" i="31"/>
  <c r="AL79" i="31" s="1"/>
  <c r="O97" i="31"/>
  <c r="AL97" i="31" s="1"/>
  <c r="O115" i="31"/>
  <c r="AL115" i="31" s="1"/>
  <c r="O131" i="31"/>
  <c r="AL131" i="31" s="1"/>
  <c r="O149" i="31"/>
  <c r="AL149" i="31" s="1"/>
  <c r="O165" i="31"/>
  <c r="AL165" i="31" s="1"/>
  <c r="O182" i="31"/>
  <c r="AL182" i="31" s="1"/>
  <c r="O198" i="31"/>
  <c r="AL198" i="31" s="1"/>
  <c r="O213" i="31"/>
  <c r="AL213" i="31" s="1"/>
  <c r="O228" i="31"/>
  <c r="AL228" i="31" s="1"/>
  <c r="O244" i="31"/>
  <c r="AL244" i="31" s="1"/>
  <c r="O261" i="31"/>
  <c r="AL261" i="31" s="1"/>
  <c r="O276" i="31"/>
  <c r="AL276" i="31" s="1"/>
  <c r="O292" i="31"/>
  <c r="AL292" i="31" s="1"/>
  <c r="O307" i="31"/>
  <c r="AL307" i="31" s="1"/>
  <c r="O321" i="31"/>
  <c r="AL321" i="31" s="1"/>
  <c r="O335" i="31"/>
  <c r="AL335" i="31" s="1"/>
  <c r="O350" i="31"/>
  <c r="AL350" i="31" s="1"/>
  <c r="O365" i="31"/>
  <c r="AL365" i="31" s="1"/>
  <c r="O379" i="31"/>
  <c r="AL379" i="31" s="1"/>
  <c r="O393" i="31"/>
  <c r="AL393" i="31" s="1"/>
  <c r="O407" i="31"/>
  <c r="AL407" i="31" s="1"/>
  <c r="O421" i="31"/>
  <c r="AL421" i="31" s="1"/>
  <c r="O435" i="31"/>
  <c r="AL435" i="31" s="1"/>
  <c r="O448" i="31"/>
  <c r="AL448" i="31" s="1"/>
  <c r="O461" i="31"/>
  <c r="AL461" i="31" s="1"/>
  <c r="O474" i="31"/>
  <c r="AL474" i="31" s="1"/>
  <c r="O487" i="31"/>
  <c r="AL487" i="31" s="1"/>
  <c r="O501" i="31"/>
  <c r="AL501" i="31" s="1"/>
  <c r="O514" i="31"/>
  <c r="AL514" i="31" s="1"/>
  <c r="O527" i="31"/>
  <c r="AL527" i="31" s="1"/>
  <c r="O540" i="31"/>
  <c r="AL540" i="31" s="1"/>
  <c r="O553" i="31"/>
  <c r="AL553" i="31" s="1"/>
  <c r="O566" i="31"/>
  <c r="AL566" i="31" s="1"/>
  <c r="O579" i="31"/>
  <c r="AL579" i="31" s="1"/>
  <c r="O592" i="31"/>
  <c r="AL592" i="31" s="1"/>
  <c r="O605" i="31"/>
  <c r="AL605" i="31" s="1"/>
  <c r="O30" i="31"/>
  <c r="AL30" i="31" s="1"/>
  <c r="O46" i="31"/>
  <c r="AL46" i="31" s="1"/>
  <c r="O64" i="31"/>
  <c r="AL64" i="31" s="1"/>
  <c r="O81" i="31"/>
  <c r="AL81" i="31" s="1"/>
  <c r="O100" i="31"/>
  <c r="AL100" i="31" s="1"/>
  <c r="O116" i="31"/>
  <c r="AL116" i="31" s="1"/>
  <c r="O132" i="31"/>
  <c r="AL132" i="31" s="1"/>
  <c r="O150" i="31"/>
  <c r="AL150" i="31" s="1"/>
  <c r="O167" i="31"/>
  <c r="AL167" i="31" s="1"/>
  <c r="O184" i="31"/>
  <c r="AL184" i="31" s="1"/>
  <c r="O199" i="31"/>
  <c r="AL199" i="31" s="1"/>
  <c r="O214" i="31"/>
  <c r="AL214" i="31" s="1"/>
  <c r="O229" i="31"/>
  <c r="AL229" i="31" s="1"/>
  <c r="O246" i="31"/>
  <c r="AL246" i="31" s="1"/>
  <c r="O262" i="31"/>
  <c r="AL262" i="31" s="1"/>
  <c r="O277" i="31"/>
  <c r="AL277" i="31" s="1"/>
  <c r="O293" i="31"/>
  <c r="AL293" i="31" s="1"/>
  <c r="O308" i="31"/>
  <c r="AL308" i="31" s="1"/>
  <c r="O322" i="31"/>
  <c r="AL322" i="31" s="1"/>
  <c r="O337" i="31"/>
  <c r="AL337" i="31" s="1"/>
  <c r="O352" i="31"/>
  <c r="AL352" i="31" s="1"/>
  <c r="O366" i="31"/>
  <c r="AL366" i="31" s="1"/>
  <c r="O380" i="31"/>
  <c r="AL380" i="31" s="1"/>
  <c r="O394" i="31"/>
  <c r="AL394" i="31" s="1"/>
  <c r="O408" i="31"/>
  <c r="AL408" i="31" s="1"/>
  <c r="O422" i="31"/>
  <c r="AL422" i="31" s="1"/>
  <c r="O436" i="31"/>
  <c r="AL436" i="31" s="1"/>
  <c r="O449" i="31"/>
  <c r="AL449" i="31" s="1"/>
  <c r="O462" i="31"/>
  <c r="AL462" i="31" s="1"/>
  <c r="O475" i="31"/>
  <c r="AL475" i="31" s="1"/>
  <c r="O489" i="31"/>
  <c r="AL489" i="31" s="1"/>
  <c r="O502" i="31"/>
  <c r="AL502" i="31" s="1"/>
  <c r="O515" i="31"/>
  <c r="AL515" i="31" s="1"/>
  <c r="O528" i="31"/>
  <c r="AL528" i="31" s="1"/>
  <c r="O541" i="31"/>
  <c r="AL541" i="31" s="1"/>
  <c r="O554" i="31"/>
  <c r="AL554" i="31" s="1"/>
  <c r="O567" i="31"/>
  <c r="AL567" i="31" s="1"/>
  <c r="O580" i="31"/>
  <c r="AL580" i="31" s="1"/>
  <c r="O593" i="31"/>
  <c r="AL593" i="31" s="1"/>
  <c r="O606" i="31"/>
  <c r="AL606" i="31" s="1"/>
  <c r="O31" i="31"/>
  <c r="AL31" i="31" s="1"/>
  <c r="O47" i="31"/>
  <c r="AL47" i="31" s="1"/>
  <c r="O65" i="31"/>
  <c r="AL65" i="31" s="1"/>
  <c r="O83" i="31"/>
  <c r="AL83" i="31" s="1"/>
  <c r="O101" i="31"/>
  <c r="AL101" i="31" s="1"/>
  <c r="O117" i="31"/>
  <c r="AL117" i="31" s="1"/>
  <c r="O133" i="31"/>
  <c r="AL133" i="31" s="1"/>
  <c r="O151" i="31"/>
  <c r="AL151" i="31" s="1"/>
  <c r="O169" i="31"/>
  <c r="AL169" i="31" s="1"/>
  <c r="O185" i="31"/>
  <c r="AL185" i="31" s="1"/>
  <c r="O200" i="31"/>
  <c r="AL200" i="31" s="1"/>
  <c r="O215" i="31"/>
  <c r="AL215" i="31" s="1"/>
  <c r="O230" i="31"/>
  <c r="AL230" i="31" s="1"/>
  <c r="O248" i="31"/>
  <c r="AL248" i="31" s="1"/>
  <c r="O263" i="31"/>
  <c r="AL263" i="31" s="1"/>
  <c r="O278" i="31"/>
  <c r="AL278" i="31" s="1"/>
  <c r="O294" i="31"/>
  <c r="AL294" i="31" s="1"/>
  <c r="O309" i="31"/>
  <c r="AL309" i="31" s="1"/>
  <c r="O324" i="31"/>
  <c r="AL324" i="31" s="1"/>
  <c r="O338" i="31"/>
  <c r="AL338" i="31" s="1"/>
  <c r="O353" i="31"/>
  <c r="AL353" i="31" s="1"/>
  <c r="O367" i="31"/>
  <c r="AL367" i="31" s="1"/>
  <c r="O381" i="31"/>
  <c r="AL381" i="31" s="1"/>
  <c r="O395" i="31"/>
  <c r="AL395" i="31" s="1"/>
  <c r="O409" i="31"/>
  <c r="AL409" i="31" s="1"/>
  <c r="O424" i="31"/>
  <c r="AL424" i="31" s="1"/>
  <c r="O437" i="31"/>
  <c r="AL437" i="31" s="1"/>
  <c r="O450" i="31"/>
  <c r="AL450" i="31" s="1"/>
  <c r="O463" i="31"/>
  <c r="AL463" i="31" s="1"/>
  <c r="O477" i="31"/>
  <c r="AL477" i="31" s="1"/>
  <c r="O490" i="31"/>
  <c r="AL490" i="31" s="1"/>
  <c r="O503" i="31"/>
  <c r="AL503" i="31" s="1"/>
  <c r="O516" i="31"/>
  <c r="AL516" i="31" s="1"/>
  <c r="O529" i="31"/>
  <c r="AL529" i="31" s="1"/>
  <c r="O542" i="31"/>
  <c r="AL542" i="31" s="1"/>
  <c r="O555" i="31"/>
  <c r="AL555" i="31" s="1"/>
  <c r="O568" i="31"/>
  <c r="AL568" i="31" s="1"/>
  <c r="O581" i="31"/>
  <c r="AL581" i="31" s="1"/>
  <c r="O594" i="31"/>
  <c r="AL594" i="31" s="1"/>
  <c r="O607" i="31"/>
  <c r="AL607" i="31" s="1"/>
  <c r="O32" i="31"/>
  <c r="AL32" i="31" s="1"/>
  <c r="O67" i="31"/>
  <c r="AL67" i="31" s="1"/>
  <c r="O84" i="31"/>
  <c r="AL84" i="31" s="1"/>
  <c r="O118" i="31"/>
  <c r="AL118" i="31" s="1"/>
  <c r="O153" i="31"/>
  <c r="AL153" i="31" s="1"/>
  <c r="O186" i="31"/>
  <c r="AL186" i="31" s="1"/>
  <c r="O216" i="31"/>
  <c r="AL216" i="31" s="1"/>
  <c r="O249" i="31"/>
  <c r="AL249" i="31" s="1"/>
  <c r="O280" i="31"/>
  <c r="AL280" i="31" s="1"/>
  <c r="O311" i="31"/>
  <c r="AL311" i="31" s="1"/>
  <c r="O340" i="31"/>
  <c r="AL340" i="31" s="1"/>
  <c r="O368" i="31"/>
  <c r="AL368" i="31" s="1"/>
  <c r="O396" i="31"/>
  <c r="AL396" i="31" s="1"/>
  <c r="O425" i="31"/>
  <c r="AL425" i="31" s="1"/>
  <c r="O451" i="31"/>
  <c r="AL451" i="31" s="1"/>
  <c r="O478" i="31"/>
  <c r="AL478" i="31" s="1"/>
  <c r="O504" i="31"/>
  <c r="AL504" i="31" s="1"/>
  <c r="O530" i="31"/>
  <c r="AL530" i="31" s="1"/>
  <c r="O556" i="31"/>
  <c r="AL556" i="31" s="1"/>
  <c r="O582" i="31"/>
  <c r="AL582" i="31" s="1"/>
  <c r="O609" i="31"/>
  <c r="AL609" i="31" s="1"/>
  <c r="O16" i="31"/>
  <c r="AL16" i="31" s="1"/>
  <c r="O48" i="31"/>
  <c r="AL48" i="31" s="1"/>
  <c r="O102" i="31"/>
  <c r="AL102" i="31" s="1"/>
  <c r="O136" i="31"/>
  <c r="AL136" i="31" s="1"/>
  <c r="O170" i="31"/>
  <c r="AL170" i="31" s="1"/>
  <c r="O201" i="31"/>
  <c r="AL201" i="31" s="1"/>
  <c r="O233" i="31"/>
  <c r="AL233" i="31" s="1"/>
  <c r="O264" i="31"/>
  <c r="AL264" i="31" s="1"/>
  <c r="O295" i="31"/>
  <c r="AL295" i="31" s="1"/>
  <c r="O325" i="31"/>
  <c r="AL325" i="31" s="1"/>
  <c r="O354" i="31"/>
  <c r="AL354" i="31" s="1"/>
  <c r="O382" i="31"/>
  <c r="AL382" i="31" s="1"/>
  <c r="O410" i="31"/>
  <c r="AL410" i="31" s="1"/>
  <c r="O438" i="31"/>
  <c r="AL438" i="31" s="1"/>
  <c r="O465" i="31"/>
  <c r="AL465" i="31" s="1"/>
  <c r="O491" i="31"/>
  <c r="AL491" i="31" s="1"/>
  <c r="O517" i="31"/>
  <c r="AL517" i="31" s="1"/>
  <c r="O543" i="31"/>
  <c r="AL543" i="31" s="1"/>
  <c r="O569" i="31"/>
  <c r="AL569" i="31" s="1"/>
  <c r="O595" i="31"/>
  <c r="AL595" i="31" s="1"/>
  <c r="O19" i="31"/>
  <c r="AL19" i="31" s="1"/>
  <c r="O49" i="31"/>
  <c r="AL49" i="31" s="1"/>
  <c r="O76" i="31"/>
  <c r="AL76" i="31" s="1"/>
  <c r="O106" i="31"/>
  <c r="AL106" i="31" s="1"/>
  <c r="O139" i="31"/>
  <c r="AL139" i="31" s="1"/>
  <c r="O163" i="31"/>
  <c r="AL163" i="31" s="1"/>
  <c r="O191" i="31"/>
  <c r="AL191" i="31" s="1"/>
  <c r="O222" i="31"/>
  <c r="AL222" i="31" s="1"/>
  <c r="O250" i="31"/>
  <c r="AL250" i="31" s="1"/>
  <c r="O272" i="31"/>
  <c r="AL272" i="31" s="1"/>
  <c r="O301" i="31"/>
  <c r="AL301" i="31" s="1"/>
  <c r="O328" i="31"/>
  <c r="AL328" i="31" s="1"/>
  <c r="O347" i="31"/>
  <c r="AL347" i="31" s="1"/>
  <c r="O373" i="31"/>
  <c r="AL373" i="31" s="1"/>
  <c r="O400" i="31"/>
  <c r="AL400" i="31" s="1"/>
  <c r="O426" i="31"/>
  <c r="AL426" i="31" s="1"/>
  <c r="O445" i="31"/>
  <c r="AL445" i="31" s="1"/>
  <c r="O469" i="31"/>
  <c r="AL469" i="31" s="1"/>
  <c r="O493" i="31"/>
  <c r="AL493" i="31" s="1"/>
  <c r="O511" i="31"/>
  <c r="AL511" i="31" s="1"/>
  <c r="O535" i="31"/>
  <c r="AL535" i="31" s="1"/>
  <c r="O559" i="31"/>
  <c r="AL559" i="31" s="1"/>
  <c r="O583" i="31"/>
  <c r="AL583" i="31" s="1"/>
  <c r="O602" i="31"/>
  <c r="AL602" i="31" s="1"/>
  <c r="O20" i="31"/>
  <c r="AL20" i="31" s="1"/>
  <c r="O53" i="31"/>
  <c r="AL53" i="31" s="1"/>
  <c r="O77" i="31"/>
  <c r="AL77" i="31" s="1"/>
  <c r="O107" i="31"/>
  <c r="AL107" i="31" s="1"/>
  <c r="O141" i="31"/>
  <c r="AL141" i="31" s="1"/>
  <c r="O172" i="31"/>
  <c r="AL172" i="31" s="1"/>
  <c r="O193" i="31"/>
  <c r="AL193" i="31" s="1"/>
  <c r="O223" i="31"/>
  <c r="AL223" i="31" s="1"/>
  <c r="O251" i="31"/>
  <c r="AL251" i="31" s="1"/>
  <c r="O274" i="31"/>
  <c r="AL274" i="31" s="1"/>
  <c r="O302" i="31"/>
  <c r="AL302" i="31" s="1"/>
  <c r="O329" i="31"/>
  <c r="AL329" i="31" s="1"/>
  <c r="O355" i="31"/>
  <c r="AL355" i="31" s="1"/>
  <c r="O374" i="31"/>
  <c r="AL374" i="31" s="1"/>
  <c r="O401" i="31"/>
  <c r="AL401" i="31" s="1"/>
  <c r="O427" i="31"/>
  <c r="AL427" i="31" s="1"/>
  <c r="O446" i="31"/>
  <c r="AL446" i="31" s="1"/>
  <c r="O470" i="31"/>
  <c r="AL470" i="31" s="1"/>
  <c r="O494" i="31"/>
  <c r="AL494" i="31" s="1"/>
  <c r="O518" i="31"/>
  <c r="AL518" i="31" s="1"/>
  <c r="O537" i="31"/>
  <c r="AL537" i="31" s="1"/>
  <c r="O561" i="31"/>
  <c r="AL561" i="31" s="1"/>
  <c r="O585" i="31"/>
  <c r="AL585" i="31" s="1"/>
  <c r="O603" i="31"/>
  <c r="AL603" i="31" s="1"/>
  <c r="O85" i="31"/>
  <c r="AL85" i="31" s="1"/>
  <c r="O142" i="31"/>
  <c r="AL142" i="31" s="1"/>
  <c r="O224" i="31"/>
  <c r="AL224" i="31" s="1"/>
  <c r="O281" i="31"/>
  <c r="AL281" i="31" s="1"/>
  <c r="O21" i="31"/>
  <c r="AL21" i="31" s="1"/>
  <c r="O55" i="31"/>
  <c r="AL55" i="31" s="1"/>
  <c r="O109" i="31"/>
  <c r="AL109" i="31" s="1"/>
  <c r="O173" i="31"/>
  <c r="AL173" i="31" s="1"/>
  <c r="O196" i="31"/>
  <c r="AL196" i="31" s="1"/>
  <c r="O252" i="31"/>
  <c r="AL252" i="31" s="1"/>
  <c r="O304" i="31"/>
  <c r="AL304" i="31" s="1"/>
  <c r="O23" i="31"/>
  <c r="AL23" i="31" s="1"/>
  <c r="O59" i="31"/>
  <c r="AL59" i="31" s="1"/>
  <c r="O103" i="31"/>
  <c r="AL103" i="31" s="1"/>
  <c r="O143" i="31"/>
  <c r="AL143" i="31" s="1"/>
  <c r="O177" i="31"/>
  <c r="AL177" i="31" s="1"/>
  <c r="O211" i="31"/>
  <c r="AL211" i="31" s="1"/>
  <c r="O253" i="31"/>
  <c r="AL253" i="31" s="1"/>
  <c r="O287" i="31"/>
  <c r="AL287" i="31" s="1"/>
  <c r="O318" i="31"/>
  <c r="AL318" i="31" s="1"/>
  <c r="O346" i="31"/>
  <c r="AL346" i="31" s="1"/>
  <c r="O383" i="31"/>
  <c r="AL383" i="31" s="1"/>
  <c r="O412" i="31"/>
  <c r="AL412" i="31" s="1"/>
  <c r="O439" i="31"/>
  <c r="AL439" i="31" s="1"/>
  <c r="O466" i="31"/>
  <c r="AL466" i="31" s="1"/>
  <c r="O492" i="31"/>
  <c r="AL492" i="31" s="1"/>
  <c r="O520" i="31"/>
  <c r="AL520" i="31" s="1"/>
  <c r="O546" i="31"/>
  <c r="AL546" i="31" s="1"/>
  <c r="O573" i="31"/>
  <c r="AL573" i="31" s="1"/>
  <c r="O599" i="31"/>
  <c r="AL599" i="31" s="1"/>
  <c r="O576" i="31"/>
  <c r="AL576" i="31" s="1"/>
  <c r="O332" i="31"/>
  <c r="AL332" i="31" s="1"/>
  <c r="O453" i="31"/>
  <c r="AL453" i="31" s="1"/>
  <c r="O557" i="31"/>
  <c r="AL557" i="31" s="1"/>
  <c r="O88" i="31"/>
  <c r="AL88" i="31" s="1"/>
  <c r="O236" i="31"/>
  <c r="AL236" i="31" s="1"/>
  <c r="O391" i="31"/>
  <c r="AL391" i="31" s="1"/>
  <c r="O532" i="31"/>
  <c r="AL532" i="31" s="1"/>
  <c r="O89" i="31"/>
  <c r="AL89" i="31" s="1"/>
  <c r="O237" i="31"/>
  <c r="AL237" i="31" s="1"/>
  <c r="O341" i="31"/>
  <c r="AL341" i="31" s="1"/>
  <c r="O455" i="31"/>
  <c r="AL455" i="31" s="1"/>
  <c r="O562" i="31"/>
  <c r="AL562" i="31" s="1"/>
  <c r="O90" i="31"/>
  <c r="AL90" i="31" s="1"/>
  <c r="O270" i="31"/>
  <c r="AL270" i="31" s="1"/>
  <c r="O430" i="31"/>
  <c r="AL430" i="31" s="1"/>
  <c r="O534" i="31"/>
  <c r="AL534" i="31" s="1"/>
  <c r="O174" i="31"/>
  <c r="AL174" i="31" s="1"/>
  <c r="O343" i="31"/>
  <c r="AL343" i="31" s="1"/>
  <c r="O457" i="31"/>
  <c r="AL457" i="31" s="1"/>
  <c r="O564" i="31"/>
  <c r="AL564" i="31" s="1"/>
  <c r="O92" i="31"/>
  <c r="AL92" i="31" s="1"/>
  <c r="O240" i="31"/>
  <c r="AL240" i="31" s="1"/>
  <c r="O25" i="31"/>
  <c r="AL25" i="31" s="1"/>
  <c r="O69" i="31"/>
  <c r="AL69" i="31" s="1"/>
  <c r="O104" i="31"/>
  <c r="AL104" i="31" s="1"/>
  <c r="O144" i="31"/>
  <c r="AL144" i="31" s="1"/>
  <c r="O178" i="31"/>
  <c r="AL178" i="31" s="1"/>
  <c r="O217" i="31"/>
  <c r="AL217" i="31" s="1"/>
  <c r="O254" i="31"/>
  <c r="AL254" i="31" s="1"/>
  <c r="O288" i="31"/>
  <c r="AL288" i="31" s="1"/>
  <c r="O319" i="31"/>
  <c r="AL319" i="31" s="1"/>
  <c r="O356" i="31"/>
  <c r="AL356" i="31" s="1"/>
  <c r="O384" i="31"/>
  <c r="AL384" i="31" s="1"/>
  <c r="O413" i="31"/>
  <c r="AL413" i="31" s="1"/>
  <c r="O441" i="31"/>
  <c r="AL441" i="31" s="1"/>
  <c r="O467" i="31"/>
  <c r="AL467" i="31" s="1"/>
  <c r="O495" i="31"/>
  <c r="AL495" i="31" s="1"/>
  <c r="O521" i="31"/>
  <c r="AL521" i="31" s="1"/>
  <c r="O547" i="31"/>
  <c r="AL547" i="31" s="1"/>
  <c r="O574" i="31"/>
  <c r="AL574" i="31" s="1"/>
  <c r="O600" i="31"/>
  <c r="AL600" i="31" s="1"/>
  <c r="O188" i="31"/>
  <c r="AL188" i="31" s="1"/>
  <c r="O330" i="31"/>
  <c r="AL330" i="31" s="1"/>
  <c r="O386" i="31"/>
  <c r="AL386" i="31" s="1"/>
  <c r="O443" i="31"/>
  <c r="AL443" i="31" s="1"/>
  <c r="O497" i="31"/>
  <c r="AL497" i="31" s="1"/>
  <c r="O550" i="31"/>
  <c r="AL550" i="31" s="1"/>
  <c r="O610" i="31"/>
  <c r="AL610" i="31" s="1"/>
  <c r="O37" i="31"/>
  <c r="AL37" i="31" s="1"/>
  <c r="O235" i="31"/>
  <c r="AL235" i="31" s="1"/>
  <c r="O390" i="31"/>
  <c r="AL390" i="31" s="1"/>
  <c r="O505" i="31"/>
  <c r="AL505" i="31" s="1"/>
  <c r="O586" i="31"/>
  <c r="AL586" i="31" s="1"/>
  <c r="O160" i="31"/>
  <c r="AL160" i="31" s="1"/>
  <c r="O305" i="31"/>
  <c r="AL305" i="31" s="1"/>
  <c r="O419" i="31"/>
  <c r="AL419" i="31" s="1"/>
  <c r="O506" i="31"/>
  <c r="AL506" i="31" s="1"/>
  <c r="O13" i="31"/>
  <c r="AL13" i="31" s="1"/>
  <c r="O42" i="31"/>
  <c r="AL42" i="31" s="1"/>
  <c r="O161" i="31"/>
  <c r="AL161" i="31" s="1"/>
  <c r="O312" i="31"/>
  <c r="AL312" i="31" s="1"/>
  <c r="O429" i="31"/>
  <c r="AL429" i="31" s="1"/>
  <c r="O533" i="31"/>
  <c r="AL533" i="31" s="1"/>
  <c r="O43" i="31"/>
  <c r="AL43" i="31" s="1"/>
  <c r="O204" i="31"/>
  <c r="AL204" i="31" s="1"/>
  <c r="O342" i="31"/>
  <c r="AL342" i="31" s="1"/>
  <c r="O456" i="31"/>
  <c r="AL456" i="31" s="1"/>
  <c r="O563" i="31"/>
  <c r="AL563" i="31" s="1"/>
  <c r="O128" i="31"/>
  <c r="AL128" i="31" s="1"/>
  <c r="O282" i="31"/>
  <c r="AL282" i="31" s="1"/>
  <c r="O403" i="31"/>
  <c r="AL403" i="31" s="1"/>
  <c r="O509" i="31"/>
  <c r="AL509" i="31" s="1"/>
  <c r="O57" i="31"/>
  <c r="AL57" i="31" s="1"/>
  <c r="O175" i="31"/>
  <c r="AL175" i="31" s="1"/>
  <c r="O316" i="31"/>
  <c r="AL316" i="31" s="1"/>
  <c r="O33" i="31"/>
  <c r="AL33" i="31" s="1"/>
  <c r="O70" i="31"/>
  <c r="AL70" i="31" s="1"/>
  <c r="O105" i="31"/>
  <c r="AL105" i="31" s="1"/>
  <c r="O145" i="31"/>
  <c r="AL145" i="31" s="1"/>
  <c r="O187" i="31"/>
  <c r="AL187" i="31" s="1"/>
  <c r="O220" i="31"/>
  <c r="AL220" i="31" s="1"/>
  <c r="O256" i="31"/>
  <c r="AL256" i="31" s="1"/>
  <c r="O289" i="31"/>
  <c r="AL289" i="31" s="1"/>
  <c r="O326" i="31"/>
  <c r="AL326" i="31" s="1"/>
  <c r="O357" i="31"/>
  <c r="AL357" i="31" s="1"/>
  <c r="O385" i="31"/>
  <c r="AL385" i="31" s="1"/>
  <c r="O414" i="31"/>
  <c r="AL414" i="31" s="1"/>
  <c r="O442" i="31"/>
  <c r="AL442" i="31" s="1"/>
  <c r="O468" i="31"/>
  <c r="AL468" i="31" s="1"/>
  <c r="O496" i="31"/>
  <c r="AL496" i="31" s="1"/>
  <c r="O522" i="31"/>
  <c r="AL522" i="31" s="1"/>
  <c r="O549" i="31"/>
  <c r="AL549" i="31" s="1"/>
  <c r="O575" i="31"/>
  <c r="AL575" i="31" s="1"/>
  <c r="O601" i="31"/>
  <c r="AL601" i="31" s="1"/>
  <c r="O34" i="31"/>
  <c r="AL34" i="31" s="1"/>
  <c r="O71" i="31"/>
  <c r="AL71" i="31" s="1"/>
  <c r="O113" i="31"/>
  <c r="AL113" i="31" s="1"/>
  <c r="O155" i="31"/>
  <c r="AL155" i="31" s="1"/>
  <c r="O225" i="31"/>
  <c r="AL225" i="31" s="1"/>
  <c r="O257" i="31"/>
  <c r="AL257" i="31" s="1"/>
  <c r="O296" i="31"/>
  <c r="AL296" i="31" s="1"/>
  <c r="O358" i="31"/>
  <c r="AL358" i="31" s="1"/>
  <c r="O416" i="31"/>
  <c r="AL416" i="31" s="1"/>
  <c r="O471" i="31"/>
  <c r="AL471" i="31" s="1"/>
  <c r="O523" i="31"/>
  <c r="AL523" i="31" s="1"/>
  <c r="O300" i="31"/>
  <c r="AL300" i="31" s="1"/>
  <c r="O418" i="31"/>
  <c r="AL418" i="31" s="1"/>
  <c r="O531" i="31"/>
  <c r="AL531" i="31" s="1"/>
  <c r="O41" i="31"/>
  <c r="AL41" i="31" s="1"/>
  <c r="O202" i="31"/>
  <c r="AL202" i="31" s="1"/>
  <c r="O333" i="31"/>
  <c r="AL333" i="31" s="1"/>
  <c r="O454" i="31"/>
  <c r="AL454" i="31" s="1"/>
  <c r="O587" i="31"/>
  <c r="AL587" i="31" s="1"/>
  <c r="O203" i="31"/>
  <c r="AL203" i="31" s="1"/>
  <c r="O369" i="31"/>
  <c r="AL369" i="31" s="1"/>
  <c r="O507" i="31"/>
  <c r="AL507" i="31" s="1"/>
  <c r="O162" i="31"/>
  <c r="AL162" i="31" s="1"/>
  <c r="O238" i="31"/>
  <c r="AL238" i="31" s="1"/>
  <c r="O370" i="31"/>
  <c r="AL370" i="31" s="1"/>
  <c r="O482" i="31"/>
  <c r="AL482" i="31" s="1"/>
  <c r="O589" i="31"/>
  <c r="AL589" i="31" s="1"/>
  <c r="O56" i="31"/>
  <c r="AL56" i="31" s="1"/>
  <c r="O206" i="31"/>
  <c r="AL206" i="31" s="1"/>
  <c r="O314" i="31"/>
  <c r="AL314" i="31" s="1"/>
  <c r="O431" i="31"/>
  <c r="AL431" i="31" s="1"/>
  <c r="O538" i="31"/>
  <c r="AL538" i="31" s="1"/>
  <c r="O129" i="31"/>
  <c r="AL129" i="31" s="1"/>
  <c r="O283" i="31"/>
  <c r="AL283" i="31" s="1"/>
  <c r="O35" i="31"/>
  <c r="AL35" i="31" s="1"/>
  <c r="O72" i="31"/>
  <c r="AL72" i="31" s="1"/>
  <c r="O119" i="31"/>
  <c r="AL119" i="31" s="1"/>
  <c r="O156" i="31"/>
  <c r="AL156" i="31" s="1"/>
  <c r="O189" i="31"/>
  <c r="AL189" i="31" s="1"/>
  <c r="O226" i="31"/>
  <c r="AL226" i="31" s="1"/>
  <c r="O265" i="31"/>
  <c r="AL265" i="31" s="1"/>
  <c r="O298" i="31"/>
  <c r="AL298" i="31" s="1"/>
  <c r="O331" i="31"/>
  <c r="AL331" i="31" s="1"/>
  <c r="O359" i="31"/>
  <c r="AL359" i="31" s="1"/>
  <c r="O388" i="31"/>
  <c r="AL388" i="31" s="1"/>
  <c r="O417" i="31"/>
  <c r="AL417" i="31" s="1"/>
  <c r="O444" i="31"/>
  <c r="AL444" i="31" s="1"/>
  <c r="O472" i="31"/>
  <c r="AL472" i="31" s="1"/>
  <c r="O498" i="31"/>
  <c r="AL498" i="31" s="1"/>
  <c r="O525" i="31"/>
  <c r="AL525" i="31" s="1"/>
  <c r="O551" i="31"/>
  <c r="AL551" i="31" s="1"/>
  <c r="O577" i="31"/>
  <c r="AL577" i="31" s="1"/>
  <c r="O611" i="31"/>
  <c r="AL611" i="31" s="1"/>
  <c r="O73" i="31"/>
  <c r="AL73" i="31" s="1"/>
  <c r="O120" i="31"/>
  <c r="AL120" i="31" s="1"/>
  <c r="O157" i="31"/>
  <c r="AL157" i="31" s="1"/>
  <c r="O190" i="31"/>
  <c r="AL190" i="31" s="1"/>
  <c r="O266" i="31"/>
  <c r="AL266" i="31" s="1"/>
  <c r="O360" i="31"/>
  <c r="AL360" i="31" s="1"/>
  <c r="O479" i="31"/>
  <c r="AL479" i="31" s="1"/>
  <c r="O612" i="31"/>
  <c r="AL612" i="31" s="1"/>
  <c r="O121" i="31"/>
  <c r="AL121" i="31" s="1"/>
  <c r="O268" i="31"/>
  <c r="AL268" i="31" s="1"/>
  <c r="O361" i="31"/>
  <c r="AL361" i="31" s="1"/>
  <c r="O480" i="31"/>
  <c r="AL480" i="31" s="1"/>
  <c r="O558" i="31"/>
  <c r="AL558" i="31" s="1"/>
  <c r="O125" i="31"/>
  <c r="AL125" i="31" s="1"/>
  <c r="O269" i="31"/>
  <c r="AL269" i="31" s="1"/>
  <c r="O397" i="31"/>
  <c r="AL397" i="31" s="1"/>
  <c r="O481" i="31"/>
  <c r="AL481" i="31" s="1"/>
  <c r="O588" i="31"/>
  <c r="AL588" i="31" s="1"/>
  <c r="O127" i="31"/>
  <c r="AL127" i="31" s="1"/>
  <c r="O313" i="31"/>
  <c r="AL313" i="31" s="1"/>
  <c r="O398" i="31"/>
  <c r="AL398" i="31" s="1"/>
  <c r="O508" i="31"/>
  <c r="AL508" i="31" s="1"/>
  <c r="O91" i="31"/>
  <c r="AL91" i="31" s="1"/>
  <c r="O239" i="31"/>
  <c r="AL239" i="31" s="1"/>
  <c r="O371" i="31"/>
  <c r="AL371" i="31" s="1"/>
  <c r="O483" i="31"/>
  <c r="AL483" i="31" s="1"/>
  <c r="O590" i="31"/>
  <c r="AL590" i="31" s="1"/>
  <c r="O17" i="31"/>
  <c r="AL17" i="31" s="1"/>
  <c r="O209" i="31"/>
  <c r="AL209" i="31" s="1"/>
  <c r="O58" i="31"/>
  <c r="AL58" i="31" s="1"/>
  <c r="O404" i="31"/>
  <c r="AL404" i="31" s="1"/>
  <c r="O570" i="31"/>
  <c r="AL570" i="31" s="1"/>
  <c r="O93" i="31"/>
  <c r="AL93" i="31" s="1"/>
  <c r="O405" i="31"/>
  <c r="AL405" i="31" s="1"/>
  <c r="O571" i="31"/>
  <c r="AL571" i="31" s="1"/>
  <c r="O137" i="31"/>
  <c r="AL137" i="31" s="1"/>
  <c r="O432" i="31"/>
  <c r="AL432" i="31" s="1"/>
  <c r="O597" i="31"/>
  <c r="AL597" i="31" s="1"/>
  <c r="O176" i="31"/>
  <c r="AL176" i="31" s="1"/>
  <c r="O433" i="31"/>
  <c r="AL433" i="31" s="1"/>
  <c r="O598" i="31"/>
  <c r="AL598" i="31" s="1"/>
  <c r="O210" i="31"/>
  <c r="AL210" i="31" s="1"/>
  <c r="O458" i="31"/>
  <c r="AL458" i="31" s="1"/>
  <c r="O241" i="31"/>
  <c r="AL241" i="31" s="1"/>
  <c r="O459" i="31"/>
  <c r="AL459" i="31" s="1"/>
  <c r="O285" i="31"/>
  <c r="AL285" i="31" s="1"/>
  <c r="O484" i="31"/>
  <c r="AL484" i="31" s="1"/>
  <c r="O317" i="31"/>
  <c r="AL317" i="31" s="1"/>
  <c r="O485" i="31"/>
  <c r="AL485" i="31" s="1"/>
  <c r="O344" i="31"/>
  <c r="AL344" i="31" s="1"/>
  <c r="O510" i="31"/>
  <c r="AL510" i="31" s="1"/>
  <c r="O345" i="31"/>
  <c r="AL345" i="31" s="1"/>
  <c r="O519" i="31"/>
  <c r="AL519" i="31" s="1"/>
  <c r="O372" i="31"/>
  <c r="AL372" i="31" s="1"/>
  <c r="O544" i="31"/>
  <c r="AL544" i="31" s="1"/>
  <c r="O18" i="31"/>
  <c r="AL18" i="31" s="1"/>
  <c r="O545" i="31"/>
  <c r="AL545" i="31" s="1"/>
  <c r="O377" i="31"/>
  <c r="AL377" i="31" s="1"/>
  <c r="O11" i="31" l="1"/>
  <c r="C22" i="31" s="1"/>
  <c r="C23" i="31" s="1"/>
  <c r="X11" i="31" l="1"/>
  <c r="O12" i="31"/>
  <c r="C27" i="31" l="1"/>
  <c r="P11" i="31"/>
  <c r="V2" i="31"/>
  <c r="X2" i="31"/>
  <c r="T2" i="31"/>
  <c r="AO13" i="31"/>
  <c r="AN14" i="31"/>
  <c r="K14" i="31" l="1"/>
  <c r="K4" i="31"/>
  <c r="D27" i="31"/>
  <c r="AQ13" i="31"/>
  <c r="AR13" i="31"/>
  <c r="AP13" i="31" a="1"/>
  <c r="C29" i="31"/>
  <c r="W2" i="31"/>
  <c r="Y2" i="31"/>
  <c r="U2" i="31"/>
  <c r="AO14" i="31"/>
  <c r="AP14" i="31" s="1" a="1"/>
  <c r="AN15" i="31"/>
  <c r="AS13" i="31" l="1"/>
  <c r="AQ14" i="31"/>
  <c r="AR14" i="31"/>
  <c r="AB1" i="31"/>
  <c r="AO15" i="31"/>
  <c r="AP15" i="31" s="1" a="1"/>
  <c r="AN16" i="31"/>
  <c r="AS14" i="31" l="1"/>
  <c r="AR15" i="31"/>
  <c r="AQ15" i="31"/>
  <c r="AO16" i="31"/>
  <c r="AP16" i="31" s="1" a="1"/>
  <c r="AN17" i="31"/>
  <c r="AS15" i="31" l="1"/>
  <c r="AR16" i="31"/>
  <c r="AQ16" i="31"/>
  <c r="AO17" i="31"/>
  <c r="AP17" i="31" s="1" a="1"/>
  <c r="AN18" i="31"/>
  <c r="AS16" i="31" l="1"/>
  <c r="AR17" i="31"/>
  <c r="AQ17" i="31"/>
  <c r="AO18" i="31"/>
  <c r="AP18" i="31" s="1" a="1"/>
  <c r="AN19" i="31"/>
  <c r="AS17" i="31" l="1"/>
  <c r="AR18" i="31"/>
  <c r="AQ18" i="31"/>
  <c r="AO19" i="31"/>
  <c r="AP19" i="31" s="1" a="1"/>
  <c r="AN20" i="31"/>
  <c r="AS18" i="31" l="1"/>
  <c r="AR19" i="31"/>
  <c r="AQ19" i="31"/>
  <c r="AO20" i="31"/>
  <c r="AP20" i="31" s="1" a="1"/>
  <c r="AN21" i="31"/>
  <c r="AS19" i="31" l="1"/>
  <c r="AQ20" i="31"/>
  <c r="AR20" i="31"/>
  <c r="AN22" i="31"/>
  <c r="AO21" i="31"/>
  <c r="AP21" i="31" s="1" a="1"/>
  <c r="AS20" i="31" l="1"/>
  <c r="AQ21" i="31"/>
  <c r="AR21" i="31"/>
  <c r="AO22" i="31"/>
  <c r="AP22" i="31" s="1" a="1"/>
  <c r="AN23" i="31"/>
  <c r="AS21" i="31" l="1"/>
  <c r="AR22" i="31"/>
  <c r="AQ22" i="31"/>
  <c r="AN24" i="31"/>
  <c r="AO23" i="31"/>
  <c r="AP23" i="31" s="1" a="1"/>
  <c r="AS22" i="31" l="1"/>
  <c r="AR23" i="31"/>
  <c r="AQ23" i="31"/>
  <c r="AO24" i="31"/>
  <c r="AP24" i="31" s="1" a="1"/>
  <c r="AN25" i="31"/>
  <c r="AS23" i="31" l="1"/>
  <c r="AQ24" i="31"/>
  <c r="AR24" i="31"/>
  <c r="AN26" i="31"/>
  <c r="AO25" i="31"/>
  <c r="AP25" i="31" s="1" a="1"/>
  <c r="AS24" i="31" l="1"/>
  <c r="AR25" i="31"/>
  <c r="AQ25" i="31"/>
  <c r="AN27" i="31"/>
  <c r="AO26" i="31"/>
  <c r="AP26" i="31" s="1" a="1"/>
  <c r="AS25" i="31" l="1"/>
  <c r="AQ26" i="31"/>
  <c r="AR26" i="31"/>
  <c r="AN28" i="31"/>
  <c r="AO27" i="31"/>
  <c r="AP27" i="31" s="1" a="1"/>
  <c r="AR27" i="31" l="1"/>
  <c r="AQ27" i="31"/>
  <c r="AS26" i="31"/>
  <c r="AN29" i="31"/>
  <c r="AO28" i="31"/>
  <c r="AP28" i="31" s="1" a="1"/>
  <c r="AS27" i="31" l="1"/>
  <c r="AR28" i="31"/>
  <c r="AQ28" i="31"/>
  <c r="AN30" i="31"/>
  <c r="AO29" i="31"/>
  <c r="AP29" i="31" s="1" a="1"/>
  <c r="AS28" i="31" l="1"/>
  <c r="AR29" i="31"/>
  <c r="AQ29" i="31"/>
  <c r="AN31" i="31"/>
  <c r="AO30" i="31"/>
  <c r="AP30" i="31" s="1" a="1"/>
  <c r="AS29" i="31" l="1"/>
  <c r="AR30" i="31"/>
  <c r="AQ30" i="31"/>
  <c r="AN32" i="31"/>
  <c r="AO31" i="31"/>
  <c r="AP31" i="31" s="1" a="1"/>
  <c r="AS30" i="31" l="1"/>
  <c r="AR31" i="31"/>
  <c r="AQ31" i="31"/>
  <c r="AN33" i="31"/>
  <c r="AO32" i="31"/>
  <c r="AP32" i="31" s="1" a="1"/>
  <c r="AS31" i="31" l="1"/>
  <c r="AR32" i="31"/>
  <c r="AQ32" i="31"/>
  <c r="AO33" i="31"/>
  <c r="AP33" i="31" s="1" a="1"/>
  <c r="AN34" i="31"/>
  <c r="AS32" i="31" l="1"/>
  <c r="AQ33" i="31"/>
  <c r="AR33" i="31"/>
  <c r="AN35" i="31"/>
  <c r="AO34" i="31"/>
  <c r="AP34" i="31" s="1" a="1"/>
  <c r="AS33" i="31" l="1"/>
  <c r="AQ34" i="31"/>
  <c r="AR34" i="31"/>
  <c r="AO35" i="31"/>
  <c r="AP35" i="31" s="1" a="1"/>
  <c r="AN36" i="31"/>
  <c r="AS34" i="31" l="1"/>
  <c r="AR35" i="31"/>
  <c r="AQ35" i="31"/>
  <c r="AO36" i="31"/>
  <c r="AP36" i="31" s="1" a="1"/>
  <c r="AN37" i="31"/>
  <c r="AS35" i="31" l="1"/>
  <c r="AQ36" i="31"/>
  <c r="AR36" i="31"/>
  <c r="AO37" i="31"/>
  <c r="AP37" i="31" s="1" a="1"/>
  <c r="AN38" i="31"/>
  <c r="AS36" i="31" l="1"/>
  <c r="AR37" i="31"/>
  <c r="AQ37" i="31"/>
  <c r="AO38" i="31"/>
  <c r="AP38" i="31" s="1" a="1"/>
  <c r="AN39" i="31"/>
  <c r="AS37" i="31" l="1"/>
  <c r="AR38" i="31"/>
  <c r="AQ38" i="31"/>
  <c r="AN40" i="31"/>
  <c r="AO39" i="31"/>
  <c r="AP39" i="31" s="1" a="1"/>
  <c r="AS38" i="31" l="1"/>
  <c r="AR39" i="31"/>
  <c r="AQ39" i="31"/>
  <c r="AO40" i="31"/>
  <c r="AP40" i="31" s="1" a="1"/>
  <c r="AN41" i="31"/>
  <c r="AR40" i="31" l="1"/>
  <c r="AQ40" i="31"/>
  <c r="AS39" i="31"/>
  <c r="AO41" i="31"/>
  <c r="AP41" i="31" s="1" a="1"/>
  <c r="AN42" i="31"/>
  <c r="AS40" i="31" l="1"/>
  <c r="AR41" i="31"/>
  <c r="AQ41" i="31"/>
  <c r="AO42" i="31"/>
  <c r="AP42" i="31" s="1" a="1"/>
  <c r="AN43" i="31"/>
  <c r="AS41" i="31" l="1"/>
  <c r="AR42" i="31"/>
  <c r="AQ42" i="31"/>
  <c r="AO43" i="31"/>
  <c r="AP43" i="31" s="1" a="1"/>
  <c r="AN44" i="31"/>
  <c r="AS42" i="31" l="1"/>
  <c r="AR43" i="31"/>
  <c r="AQ43" i="31"/>
  <c r="AO44" i="31"/>
  <c r="AP44" i="31" s="1" a="1"/>
  <c r="AN45" i="31"/>
  <c r="AS43" i="31" l="1"/>
  <c r="AQ44" i="31"/>
  <c r="AR44" i="31"/>
  <c r="AO45" i="31"/>
  <c r="AP45" i="31" s="1" a="1"/>
  <c r="AN46" i="31"/>
  <c r="AS44" i="31" l="1"/>
  <c r="AR45" i="31"/>
  <c r="AQ45" i="31"/>
  <c r="AO46" i="31"/>
  <c r="AP46" i="31" s="1" a="1"/>
  <c r="AN47" i="31"/>
  <c r="AS45" i="31" l="1"/>
  <c r="AR46" i="31"/>
  <c r="AQ46" i="31"/>
  <c r="AN48" i="31"/>
  <c r="AO47" i="31"/>
  <c r="AP47" i="31" s="1" a="1"/>
  <c r="AS46" i="31" l="1"/>
  <c r="AR47" i="31"/>
  <c r="AQ47" i="31"/>
  <c r="AN49" i="31"/>
  <c r="AO48" i="31"/>
  <c r="AP48" i="31" s="1" a="1"/>
  <c r="AS47" i="31" l="1"/>
  <c r="AQ48" i="31"/>
  <c r="AR48" i="31"/>
  <c r="AN50" i="31"/>
  <c r="AO49" i="31"/>
  <c r="AP49" i="31" s="1" a="1"/>
  <c r="AS48" i="31" l="1"/>
  <c r="AR49" i="31"/>
  <c r="AQ49" i="31"/>
  <c r="AN51" i="31"/>
  <c r="AO50" i="31"/>
  <c r="AP50" i="31" s="1" a="1"/>
  <c r="AS49" i="31" l="1"/>
  <c r="AR50" i="31"/>
  <c r="AQ50" i="31"/>
  <c r="AN52" i="31"/>
  <c r="AO51" i="31"/>
  <c r="AP51" i="31" s="1" a="1"/>
  <c r="AS50" i="31" l="1"/>
  <c r="AR51" i="31"/>
  <c r="AQ51" i="31"/>
  <c r="AO52" i="31"/>
  <c r="AP52" i="31" s="1" a="1"/>
  <c r="AN53" i="31"/>
  <c r="AS51" i="31" l="1"/>
  <c r="AR52" i="31"/>
  <c r="AQ52" i="31"/>
  <c r="AO53" i="31"/>
  <c r="AP53" i="31" s="1" a="1"/>
  <c r="AN54" i="31"/>
  <c r="AS52" i="31" l="1"/>
  <c r="AR53" i="31"/>
  <c r="AQ53" i="31"/>
  <c r="AO54" i="31"/>
  <c r="AP54" i="31" s="1" a="1"/>
  <c r="AN55" i="31"/>
  <c r="AS53" i="31" l="1"/>
  <c r="AQ54" i="31"/>
  <c r="AR54" i="31"/>
  <c r="AO55" i="31"/>
  <c r="AP55" i="31" s="1" a="1"/>
  <c r="AN56" i="31"/>
  <c r="AS54" i="31" l="1"/>
  <c r="AQ55" i="31"/>
  <c r="AR55" i="31"/>
  <c r="AO56" i="31"/>
  <c r="AP56" i="31" s="1" a="1"/>
  <c r="AN57" i="31"/>
  <c r="AS55" i="31" l="1"/>
  <c r="AR56" i="31"/>
  <c r="AQ56" i="31"/>
  <c r="AN58" i="31"/>
  <c r="AO57" i="31"/>
  <c r="AP57" i="31" s="1" a="1"/>
  <c r="AS56" i="31" l="1"/>
  <c r="AQ57" i="31"/>
  <c r="AR57" i="31"/>
  <c r="AN59" i="31"/>
  <c r="AO58" i="31"/>
  <c r="AP58" i="31" s="1" a="1"/>
  <c r="AS57" i="31" l="1"/>
  <c r="AR58" i="31"/>
  <c r="AQ58" i="31"/>
  <c r="AO59" i="31"/>
  <c r="AP59" i="31" s="1" a="1"/>
  <c r="AN60" i="31"/>
  <c r="AS58" i="31" l="1"/>
  <c r="AQ59" i="31"/>
  <c r="AR59" i="31"/>
  <c r="AO60" i="31"/>
  <c r="AP60" i="31" s="1" a="1"/>
  <c r="AN61" i="31"/>
  <c r="AS59" i="31" l="1"/>
  <c r="AQ60" i="31"/>
  <c r="AR60" i="31"/>
  <c r="AO61" i="31"/>
  <c r="AP61" i="31" s="1" a="1"/>
  <c r="AN62" i="31"/>
  <c r="AS60" i="31" l="1"/>
  <c r="AR61" i="31"/>
  <c r="AQ61" i="31"/>
  <c r="AN63" i="31"/>
  <c r="AO62" i="31"/>
  <c r="AP62" i="31" s="1" a="1"/>
  <c r="AS61" i="31" l="1"/>
  <c r="AR62" i="31"/>
  <c r="AQ62" i="31"/>
  <c r="AN64" i="31"/>
  <c r="AO63" i="31"/>
  <c r="AP63" i="31" s="1" a="1"/>
  <c r="AS62" i="31" l="1"/>
  <c r="AQ63" i="31"/>
  <c r="AR63" i="31"/>
  <c r="AN65" i="31"/>
  <c r="AO64" i="31"/>
  <c r="AP64" i="31" s="1" a="1"/>
  <c r="AS63" i="31" l="1"/>
  <c r="AR64" i="31"/>
  <c r="AQ64" i="31"/>
  <c r="AN66" i="31"/>
  <c r="AO65" i="31"/>
  <c r="AP65" i="31" s="1" a="1"/>
  <c r="AS64" i="31" l="1"/>
  <c r="AR65" i="31"/>
  <c r="AQ65" i="31"/>
  <c r="AO66" i="31"/>
  <c r="AP66" i="31" s="1" a="1"/>
  <c r="AN67" i="31"/>
  <c r="AS65" i="31" l="1"/>
  <c r="AR66" i="31"/>
  <c r="AQ66" i="31"/>
  <c r="AO67" i="31"/>
  <c r="AP67" i="31" s="1" a="1"/>
  <c r="AN68" i="31"/>
  <c r="AS66" i="31" l="1"/>
  <c r="AQ67" i="31"/>
  <c r="AR67" i="31"/>
  <c r="AO68" i="31"/>
  <c r="AP68" i="31" s="1" a="1"/>
  <c r="AN69" i="31"/>
  <c r="AS67" i="31" l="1"/>
  <c r="AR68" i="31"/>
  <c r="AQ68" i="31"/>
  <c r="AN70" i="31"/>
  <c r="AO69" i="31"/>
  <c r="AP69" i="31" s="1" a="1"/>
  <c r="AS68" i="31" l="1"/>
  <c r="AR69" i="31"/>
  <c r="AQ69" i="31"/>
  <c r="AO70" i="31"/>
  <c r="AP70" i="31" s="1" a="1"/>
  <c r="AN71" i="31"/>
  <c r="AS69" i="31" l="1"/>
  <c r="AR70" i="31"/>
  <c r="AQ70" i="31"/>
  <c r="AO71" i="31"/>
  <c r="AP71" i="31" s="1" a="1"/>
  <c r="AN72" i="31"/>
  <c r="AS70" i="31" l="1"/>
  <c r="AR71" i="31"/>
  <c r="AQ71" i="31"/>
  <c r="AO72" i="31"/>
  <c r="AP72" i="31" s="1" a="1"/>
  <c r="AQ6" i="31"/>
  <c r="AS71" i="31" l="1"/>
  <c r="AQ72" i="31"/>
  <c r="AR72" i="31"/>
  <c r="AS72" i="3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<sst xmlns="http://schemas.openxmlformats.org/spreadsheetml/2006/main" count="75" uniqueCount="68">
  <si>
    <t>Month</t>
  </si>
  <si>
    <t>Term (in Years)</t>
  </si>
  <si>
    <t>Total Months</t>
  </si>
  <si>
    <t>Total Amount Invested</t>
  </si>
  <si>
    <t>* For Educational Purposes Only</t>
  </si>
  <si>
    <t>Chart Info</t>
  </si>
  <si>
    <t>SIP Gain</t>
  </si>
  <si>
    <t>SIP Invested</t>
  </si>
  <si>
    <t>Balance for SIP</t>
  </si>
  <si>
    <t>Goal Amount (Rs.)</t>
  </si>
  <si>
    <t>SIP To Use</t>
  </si>
  <si>
    <t>(Max. 50)</t>
  </si>
  <si>
    <t>Quotient</t>
  </si>
  <si>
    <t>SIP Calculations for Document</t>
  </si>
  <si>
    <t>Remainder</t>
  </si>
  <si>
    <t>Total SIP Investment</t>
  </si>
  <si>
    <t>Goal amount required by Monthly SIP</t>
  </si>
  <si>
    <t>Total SIP Value</t>
  </si>
  <si>
    <t>Monthly Investment Required (Rs.)</t>
  </si>
  <si>
    <t>Monthly Investment (Rs.)</t>
  </si>
  <si>
    <t>S-I</t>
  </si>
  <si>
    <t>S-G</t>
  </si>
  <si>
    <t>SIPRate</t>
  </si>
  <si>
    <t>Calculated SIP</t>
  </si>
  <si>
    <t>Override SIP</t>
  </si>
  <si>
    <t>For Table in Doc</t>
  </si>
  <si>
    <t>Total SIPInvestment</t>
  </si>
  <si>
    <t>Expected Rate of Return (Percentage)</t>
  </si>
  <si>
    <t>Lumpsum Investment Amount</t>
  </si>
  <si>
    <t>Current Investment Value</t>
  </si>
  <si>
    <t>Current Investment Rate of Return</t>
  </si>
  <si>
    <t>Current Investment Tax Rate at Maturity</t>
  </si>
  <si>
    <t>Lumspum Invested</t>
  </si>
  <si>
    <t>Monthly SIP Payment</t>
  </si>
  <si>
    <t>Current Corpus</t>
  </si>
  <si>
    <t>Cur. Corpus Gain</t>
  </si>
  <si>
    <t>Capital Gains Tax Rate (Long Term Only)</t>
  </si>
  <si>
    <t>Tax</t>
  </si>
  <si>
    <t>SIP Investment Value</t>
  </si>
  <si>
    <t>Total Investment Term (on SIP Override, All Investments)</t>
  </si>
  <si>
    <t>Invested Value - Lumpsum Investment</t>
  </si>
  <si>
    <t>Invested Value - Current Investment</t>
  </si>
  <si>
    <t>Total Invested Value - SIP Monthly</t>
  </si>
  <si>
    <t>Annual</t>
  </si>
  <si>
    <t>Override Calculations</t>
  </si>
  <si>
    <t>Lumpsum</t>
  </si>
  <si>
    <t>Lumpsum Gain</t>
  </si>
  <si>
    <t>C-I</t>
  </si>
  <si>
    <t>C-G</t>
  </si>
  <si>
    <t>L-I</t>
  </si>
  <si>
    <t>L-G</t>
  </si>
  <si>
    <t>Monthly</t>
  </si>
  <si>
    <t>Year</t>
  </si>
  <si>
    <t>Months</t>
  </si>
  <si>
    <t>Chart Offset</t>
  </si>
  <si>
    <t>Chart Inputs</t>
  </si>
  <si>
    <t>Goal Calculator with Investment Options</t>
  </si>
  <si>
    <t>Capital Gains Tax (Total)</t>
  </si>
  <si>
    <t>Years</t>
  </si>
  <si>
    <t>Current Investment</t>
  </si>
  <si>
    <t>Total Corpus</t>
  </si>
  <si>
    <r>
      <t xml:space="preserve">Current Investment Gain Amount / </t>
    </r>
    <r>
      <rPr>
        <sz val="10"/>
        <color rgb="FFFF0000"/>
        <rFont val="Arial"/>
        <family val="2"/>
      </rPr>
      <t>Tax</t>
    </r>
  </si>
  <si>
    <r>
      <t>Lumpsum Investment Gain Amount /</t>
    </r>
    <r>
      <rPr>
        <sz val="10"/>
        <color rgb="FFFF0000"/>
        <rFont val="Arial"/>
        <family val="2"/>
      </rPr>
      <t xml:space="preserve"> </t>
    </r>
    <r>
      <rPr>
        <sz val="10"/>
        <color theme="9" tint="0.39997558519241921"/>
        <rFont val="Arial"/>
        <family val="2"/>
      </rPr>
      <t>Tax</t>
    </r>
  </si>
  <si>
    <r>
      <t>SIP Investment Gain /</t>
    </r>
    <r>
      <rPr>
        <sz val="10"/>
        <color rgb="FFFF0000"/>
        <rFont val="Arial"/>
        <family val="2"/>
      </rPr>
      <t xml:space="preserve"> </t>
    </r>
    <r>
      <rPr>
        <sz val="10"/>
        <color theme="9" tint="0.39997558519241921"/>
        <rFont val="Arial"/>
        <family val="2"/>
      </rPr>
      <t>Tax</t>
    </r>
  </si>
  <si>
    <t>Name:</t>
  </si>
  <si>
    <t>Age:</t>
  </si>
  <si>
    <t>Satish Kumar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</si>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</sst>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₹&quot;\ #,##0;[Red]&quot;₹&quot;\ \-#,##0"/>
    <numFmt numFmtId="8" formatCode="&quot;₹&quot;\ #,##0.00;[Red]&quot;₹&quot;\ \-#,##0.00"/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_ ;_ [$₹-4009]\ * \-#,##0_ ;_ [$₹-4009]\ * &quot;-&quot;??_ ;_ @_ "/>
    <numFmt numFmtId="165" formatCode="_ &quot;₹&quot;\ * #,##0_ ;_ &quot;₹&quot;\ * \-#,##0_ ;_ &quot;₹&quot;\ * &quot;-&quot;??_ ;_ @_ "/>
    <numFmt numFmtId="166" formatCode="_ * #,##0_ ;_ * \-#,##0_ ;_ * &quot;-&quot;??_ ;_ @_ "/>
    <numFmt numFmtId="167" formatCode="#&quot;&quot;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FF00"/>
      <name val="Arial"/>
      <family val="2"/>
    </font>
    <font>
      <b/>
      <sz val="10"/>
      <color rgb="FF002060"/>
      <name val="Arial"/>
      <family val="2"/>
    </font>
    <font>
      <sz val="10"/>
      <color rgb="FF002060"/>
      <name val="Arial"/>
      <family val="2"/>
    </font>
    <font>
      <b/>
      <i/>
      <sz val="10"/>
      <color rgb="FF002060"/>
      <name val="Arial"/>
      <family val="2"/>
    </font>
    <font>
      <b/>
      <sz val="10"/>
      <color rgb="FFFF0000"/>
      <name val="Arial"/>
      <family val="2"/>
    </font>
    <font>
      <b/>
      <sz val="10"/>
      <color rgb="FFFFFF00"/>
      <name val="Arial"/>
      <family val="2"/>
    </font>
    <font>
      <sz val="8"/>
      <color rgb="FF000000"/>
      <name val="Segoe UI"/>
      <family val="2"/>
    </font>
    <font>
      <b/>
      <sz val="12"/>
      <name val="Arial"/>
      <family val="2"/>
    </font>
    <font>
      <b/>
      <sz val="10"/>
      <color rgb="FF0070C0"/>
      <name val="Arial"/>
      <family val="2"/>
    </font>
    <font>
      <b/>
      <i/>
      <sz val="10"/>
      <color rgb="FFFF0000"/>
      <name val="Arial"/>
      <family val="2"/>
    </font>
    <font>
      <i/>
      <sz val="10"/>
      <color rgb="FF002060"/>
      <name val="Arial"/>
      <family val="2"/>
    </font>
    <font>
      <b/>
      <i/>
      <sz val="8"/>
      <color rgb="FFFF0000"/>
      <name val="Arial"/>
      <family val="2"/>
    </font>
    <font>
      <sz val="10"/>
      <color theme="1"/>
      <name val="Arial"/>
      <family val="2"/>
    </font>
    <font>
      <sz val="10"/>
      <color theme="5" tint="-0.499984740745262"/>
      <name val="Arial Narrow"/>
      <family val="2"/>
    </font>
    <font>
      <i/>
      <sz val="10"/>
      <name val="Arial"/>
      <family val="2"/>
    </font>
    <font>
      <b/>
      <sz val="14"/>
      <color theme="3" tint="-0.249977111117893"/>
      <name val="Arial"/>
      <family val="2"/>
    </font>
    <font>
      <sz val="10"/>
      <name val="Arial"/>
      <family val="2"/>
    </font>
    <font>
      <sz val="10"/>
      <color theme="8" tint="0.79998168889431442"/>
      <name val="Arial"/>
      <family val="2"/>
    </font>
    <font>
      <sz val="10"/>
      <color theme="7" tint="-0.499984740745262"/>
      <name val="Arial"/>
      <family val="2"/>
    </font>
    <font>
      <sz val="10"/>
      <color theme="6" tint="-0.499984740745262"/>
      <name val="Arial"/>
      <family val="2"/>
    </font>
    <font>
      <b/>
      <sz val="10"/>
      <color rgb="FF7030A0"/>
      <name val="Arial"/>
      <family val="2"/>
    </font>
    <font>
      <b/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theme="0"/>
      <name val="Arial"/>
      <family val="2"/>
    </font>
    <font>
      <sz val="10"/>
      <color rgb="FFC0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rgb="FF25384B"/>
      <name val="Arial"/>
      <family val="2"/>
    </font>
    <font>
      <sz val="10"/>
      <color theme="9" tint="0.79998168889431442"/>
      <name val="Arial"/>
      <family val="2"/>
    </font>
    <font>
      <b/>
      <i/>
      <sz val="9"/>
      <color rgb="FFFF0000"/>
      <name val="Arial"/>
      <family val="2"/>
    </font>
    <font>
      <b/>
      <i/>
      <sz val="9"/>
      <color theme="9" tint="0.59999389629810485"/>
      <name val="Arial"/>
      <family val="2"/>
    </font>
    <font>
      <sz val="10"/>
      <color theme="9" tint="0.3999755851924192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DF7F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9" fillId="0" borderId="0" applyFont="0" applyFill="0" applyBorder="0" applyAlignment="0" applyProtection="0"/>
  </cellStyleXfs>
  <cellXfs count="109">
    <xf numFmtId="0" fontId="0" fillId="0" borderId="0" xfId="0"/>
    <xf numFmtId="0" fontId="1" fillId="4" borderId="0" xfId="3" applyFill="1" applyAlignment="1" applyProtection="1">
      <alignment vertical="center"/>
      <protection hidden="1"/>
    </xf>
    <xf numFmtId="0" fontId="1" fillId="0" borderId="0" xfId="3" applyAlignment="1" applyProtection="1">
      <alignment vertical="center"/>
      <protection hidden="1"/>
    </xf>
    <xf numFmtId="0" fontId="1" fillId="0" borderId="0" xfId="3" applyAlignment="1" applyProtection="1">
      <alignment vertical="center"/>
      <protection locked="0"/>
    </xf>
    <xf numFmtId="0" fontId="10" fillId="4" borderId="0" xfId="3" applyFont="1" applyFill="1" applyAlignment="1" applyProtection="1">
      <alignment vertical="center"/>
      <protection hidden="1"/>
    </xf>
    <xf numFmtId="167" fontId="1" fillId="0" borderId="0" xfId="3" applyNumberFormat="1" applyAlignment="1" applyProtection="1">
      <alignment vertical="center"/>
      <protection locked="0"/>
    </xf>
    <xf numFmtId="6" fontId="1" fillId="0" borderId="0" xfId="3" applyNumberFormat="1" applyAlignment="1" applyProtection="1">
      <alignment vertical="center"/>
      <protection locked="0"/>
    </xf>
    <xf numFmtId="0" fontId="3" fillId="6" borderId="2" xfId="3" applyFont="1" applyFill="1" applyBorder="1" applyAlignment="1" applyProtection="1">
      <alignment vertical="center"/>
      <protection hidden="1"/>
    </xf>
    <xf numFmtId="0" fontId="1" fillId="6" borderId="2" xfId="3" applyFill="1" applyBorder="1" applyAlignment="1" applyProtection="1">
      <alignment vertical="center"/>
      <protection hidden="1"/>
    </xf>
    <xf numFmtId="0" fontId="1" fillId="2" borderId="0" xfId="3" applyFill="1" applyAlignment="1" applyProtection="1">
      <alignment vertical="center"/>
      <protection locked="0"/>
    </xf>
    <xf numFmtId="0" fontId="1" fillId="3" borderId="2" xfId="3" applyFill="1" applyBorder="1" applyAlignment="1" applyProtection="1">
      <alignment vertical="center"/>
      <protection locked="0"/>
    </xf>
    <xf numFmtId="10" fontId="1" fillId="3" borderId="2" xfId="3" applyNumberFormat="1" applyFill="1" applyBorder="1" applyAlignment="1" applyProtection="1">
      <alignment vertical="center"/>
      <protection locked="0"/>
    </xf>
    <xf numFmtId="0" fontId="3" fillId="9" borderId="2" xfId="3" applyFont="1" applyFill="1" applyBorder="1" applyAlignment="1" applyProtection="1">
      <alignment vertical="center"/>
      <protection hidden="1"/>
    </xf>
    <xf numFmtId="166" fontId="1" fillId="3" borderId="2" xfId="1" applyNumberFormat="1" applyFill="1" applyBorder="1" applyAlignment="1" applyProtection="1">
      <alignment vertical="center"/>
      <protection locked="0"/>
    </xf>
    <xf numFmtId="0" fontId="1" fillId="9" borderId="2" xfId="3" applyFill="1" applyBorder="1" applyAlignment="1" applyProtection="1">
      <alignment vertical="center"/>
      <protection hidden="1"/>
    </xf>
    <xf numFmtId="0" fontId="11" fillId="0" borderId="0" xfId="3" applyFont="1" applyAlignment="1" applyProtection="1">
      <alignment vertical="center"/>
      <protection locked="0"/>
    </xf>
    <xf numFmtId="166" fontId="1" fillId="0" borderId="0" xfId="1" applyNumberFormat="1" applyAlignment="1" applyProtection="1">
      <alignment vertical="center"/>
      <protection locked="0"/>
    </xf>
    <xf numFmtId="0" fontId="3" fillId="10" borderId="2" xfId="3" applyFont="1" applyFill="1" applyBorder="1" applyAlignment="1" applyProtection="1">
      <alignment vertical="center"/>
      <protection hidden="1"/>
    </xf>
    <xf numFmtId="6" fontId="8" fillId="10" borderId="2" xfId="3" applyNumberFormat="1" applyFont="1" applyFill="1" applyBorder="1" applyAlignment="1">
      <alignment vertical="center"/>
    </xf>
    <xf numFmtId="0" fontId="2" fillId="0" borderId="0" xfId="3" applyFont="1" applyAlignment="1" applyProtection="1">
      <alignment vertical="center"/>
      <protection locked="0"/>
    </xf>
    <xf numFmtId="6" fontId="2" fillId="0" borderId="0" xfId="3" applyNumberFormat="1" applyFont="1" applyAlignment="1" applyProtection="1">
      <alignment vertical="center"/>
      <protection locked="0"/>
    </xf>
    <xf numFmtId="0" fontId="1" fillId="10" borderId="0" xfId="3" applyFill="1" applyAlignment="1" applyProtection="1">
      <alignment vertical="center"/>
      <protection hidden="1"/>
    </xf>
    <xf numFmtId="165" fontId="1" fillId="10" borderId="0" xfId="2" applyNumberFormat="1" applyFont="1" applyFill="1" applyAlignment="1" applyProtection="1">
      <alignment vertical="center"/>
      <protection hidden="1"/>
    </xf>
    <xf numFmtId="8" fontId="1" fillId="0" borderId="0" xfId="3" applyNumberFormat="1" applyAlignment="1" applyProtection="1">
      <alignment vertical="center"/>
      <protection locked="0"/>
    </xf>
    <xf numFmtId="0" fontId="17" fillId="8" borderId="2" xfId="3" applyFont="1" applyFill="1" applyBorder="1" applyAlignment="1" applyProtection="1">
      <alignment vertical="center"/>
      <protection hidden="1"/>
    </xf>
    <xf numFmtId="164" fontId="13" fillId="8" borderId="2" xfId="3" applyNumberFormat="1" applyFont="1" applyFill="1" applyBorder="1" applyAlignment="1" applyProtection="1">
      <alignment vertical="center"/>
      <protection hidden="1"/>
    </xf>
    <xf numFmtId="0" fontId="5" fillId="8" borderId="2" xfId="3" applyFont="1" applyFill="1" applyBorder="1" applyAlignment="1" applyProtection="1">
      <alignment vertical="center"/>
      <protection hidden="1"/>
    </xf>
    <xf numFmtId="0" fontId="13" fillId="11" borderId="2" xfId="3" applyFont="1" applyFill="1" applyBorder="1" applyAlignment="1" applyProtection="1">
      <alignment vertical="center"/>
      <protection hidden="1"/>
    </xf>
    <xf numFmtId="164" fontId="13" fillId="11" borderId="2" xfId="3" applyNumberFormat="1" applyFont="1" applyFill="1" applyBorder="1" applyAlignment="1" applyProtection="1">
      <alignment vertical="center"/>
      <protection hidden="1"/>
    </xf>
    <xf numFmtId="0" fontId="5" fillId="11" borderId="2" xfId="3" applyFont="1" applyFill="1" applyBorder="1" applyAlignment="1" applyProtection="1">
      <alignment vertical="center"/>
      <protection hidden="1"/>
    </xf>
    <xf numFmtId="0" fontId="14" fillId="0" borderId="0" xfId="3" applyFont="1" applyAlignment="1" applyProtection="1">
      <alignment vertical="center"/>
      <protection locked="0"/>
    </xf>
    <xf numFmtId="0" fontId="12" fillId="4" borderId="0" xfId="3" applyFont="1" applyFill="1" applyAlignment="1" applyProtection="1">
      <alignment vertical="center"/>
      <protection hidden="1"/>
    </xf>
    <xf numFmtId="0" fontId="1" fillId="0" borderId="0" xfId="3" applyProtection="1">
      <protection locked="0"/>
    </xf>
    <xf numFmtId="0" fontId="6" fillId="5" borderId="2" xfId="3" applyFont="1" applyFill="1" applyBorder="1" applyAlignment="1" applyProtection="1">
      <alignment vertical="center"/>
      <protection hidden="1"/>
    </xf>
    <xf numFmtId="164" fontId="6" fillId="5" borderId="2" xfId="3" applyNumberFormat="1" applyFont="1" applyFill="1" applyBorder="1" applyAlignment="1" applyProtection="1">
      <alignment vertical="center"/>
      <protection hidden="1"/>
    </xf>
    <xf numFmtId="0" fontId="4" fillId="5" borderId="2" xfId="3" applyFont="1" applyFill="1" applyBorder="1" applyAlignment="1" applyProtection="1">
      <alignment vertical="center"/>
      <protection hidden="1"/>
    </xf>
    <xf numFmtId="0" fontId="1" fillId="2" borderId="1" xfId="3" applyFill="1" applyBorder="1" applyAlignment="1" applyProtection="1">
      <alignment vertical="center"/>
      <protection hidden="1"/>
    </xf>
    <xf numFmtId="165" fontId="15" fillId="3" borderId="1" xfId="2" applyNumberFormat="1" applyFont="1" applyFill="1" applyBorder="1" applyAlignment="1" applyProtection="1">
      <alignment vertical="center"/>
      <protection locked="0"/>
    </xf>
    <xf numFmtId="0" fontId="16" fillId="7" borderId="1" xfId="3" applyFont="1" applyFill="1" applyBorder="1" applyAlignment="1" applyProtection="1">
      <alignment vertical="center"/>
      <protection hidden="1"/>
    </xf>
    <xf numFmtId="164" fontId="2" fillId="3" borderId="2" xfId="3" applyNumberFormat="1" applyFont="1" applyFill="1" applyBorder="1" applyAlignment="1" applyProtection="1">
      <alignment vertical="center"/>
      <protection locked="0"/>
    </xf>
    <xf numFmtId="0" fontId="3" fillId="12" borderId="2" xfId="3" applyFont="1" applyFill="1" applyBorder="1" applyAlignment="1" applyProtection="1">
      <alignment vertical="center"/>
      <protection hidden="1"/>
    </xf>
    <xf numFmtId="6" fontId="3" fillId="6" borderId="2" xfId="3" applyNumberFormat="1" applyFont="1" applyFill="1" applyBorder="1" applyAlignment="1" applyProtection="1">
      <alignment vertical="center"/>
      <protection hidden="1"/>
    </xf>
    <xf numFmtId="6" fontId="3" fillId="12" borderId="2" xfId="3" applyNumberFormat="1" applyFont="1" applyFill="1" applyBorder="1" applyAlignment="1" applyProtection="1">
      <alignment vertical="center"/>
      <protection hidden="1"/>
    </xf>
    <xf numFmtId="0" fontId="7" fillId="4" borderId="0" xfId="3" applyFont="1" applyFill="1" applyAlignment="1" applyProtection="1">
      <alignment horizontal="left" vertical="center" indent="2"/>
      <protection hidden="1"/>
    </xf>
    <xf numFmtId="2" fontId="1" fillId="0" borderId="0" xfId="3" applyNumberFormat="1" applyAlignment="1" applyProtection="1">
      <alignment vertical="center"/>
      <protection locked="0"/>
    </xf>
    <xf numFmtId="0" fontId="1" fillId="0" borderId="0" xfId="3" applyAlignment="1" applyProtection="1">
      <alignment horizontal="right" vertical="center"/>
      <protection locked="0"/>
    </xf>
    <xf numFmtId="0" fontId="1" fillId="13" borderId="0" xfId="3" applyFill="1" applyAlignment="1" applyProtection="1">
      <alignment vertical="center"/>
      <protection hidden="1"/>
    </xf>
    <xf numFmtId="0" fontId="1" fillId="14" borderId="0" xfId="3" applyFill="1" applyAlignment="1" applyProtection="1">
      <alignment vertical="center"/>
      <protection hidden="1"/>
    </xf>
    <xf numFmtId="0" fontId="1" fillId="15" borderId="0" xfId="3" applyFill="1" applyAlignment="1" applyProtection="1">
      <alignment vertical="center"/>
      <protection hidden="1"/>
    </xf>
    <xf numFmtId="0" fontId="20" fillId="13" borderId="0" xfId="3" applyFont="1" applyFill="1" applyAlignment="1" applyProtection="1">
      <alignment vertical="center"/>
      <protection hidden="1"/>
    </xf>
    <xf numFmtId="166" fontId="21" fillId="3" borderId="3" xfId="1" applyNumberFormat="1" applyFont="1" applyFill="1" applyBorder="1" applyAlignment="1" applyProtection="1">
      <alignment vertical="center"/>
      <protection locked="0"/>
    </xf>
    <xf numFmtId="0" fontId="1" fillId="6" borderId="0" xfId="3" applyFill="1" applyAlignment="1" applyProtection="1">
      <alignment vertical="center"/>
      <protection hidden="1"/>
    </xf>
    <xf numFmtId="0" fontId="26" fillId="6" borderId="2" xfId="3" applyFont="1" applyFill="1" applyBorder="1" applyAlignment="1" applyProtection="1">
      <alignment vertical="center"/>
      <protection hidden="1"/>
    </xf>
    <xf numFmtId="10" fontId="27" fillId="3" borderId="0" xfId="3" applyNumberFormat="1" applyFont="1" applyFill="1" applyAlignment="1" applyProtection="1">
      <alignment vertical="center"/>
      <protection locked="0"/>
    </xf>
    <xf numFmtId="6" fontId="28" fillId="0" borderId="0" xfId="3" applyNumberFormat="1" applyFont="1" applyAlignment="1" applyProtection="1">
      <alignment vertical="center"/>
      <protection locked="0"/>
    </xf>
    <xf numFmtId="0" fontId="28" fillId="0" borderId="0" xfId="3" applyFont="1" applyAlignment="1" applyProtection="1">
      <alignment vertical="center"/>
      <protection locked="0"/>
    </xf>
    <xf numFmtId="6" fontId="1" fillId="2" borderId="0" xfId="3" applyNumberFormat="1" applyFill="1" applyAlignment="1" applyProtection="1">
      <alignment vertical="center"/>
      <protection locked="0"/>
    </xf>
    <xf numFmtId="0" fontId="17" fillId="16" borderId="2" xfId="3" applyFont="1" applyFill="1" applyBorder="1" applyAlignment="1" applyProtection="1">
      <alignment vertical="center"/>
      <protection hidden="1"/>
    </xf>
    <xf numFmtId="164" fontId="13" fillId="16" borderId="2" xfId="3" applyNumberFormat="1" applyFont="1" applyFill="1" applyBorder="1" applyAlignment="1" applyProtection="1">
      <alignment vertical="center"/>
      <protection hidden="1"/>
    </xf>
    <xf numFmtId="0" fontId="5" fillId="16" borderId="2" xfId="3" applyFont="1" applyFill="1" applyBorder="1" applyAlignment="1" applyProtection="1">
      <alignment vertical="center"/>
      <protection hidden="1"/>
    </xf>
    <xf numFmtId="0" fontId="1" fillId="7" borderId="1" xfId="3" applyFill="1" applyBorder="1" applyAlignment="1" applyProtection="1">
      <alignment vertical="center"/>
      <protection hidden="1"/>
    </xf>
    <xf numFmtId="165" fontId="29" fillId="7" borderId="1" xfId="2" applyNumberFormat="1" applyFont="1" applyFill="1" applyBorder="1" applyAlignment="1" applyProtection="1">
      <alignment horizontal="center" vertical="center"/>
      <protection hidden="1"/>
    </xf>
    <xf numFmtId="6" fontId="11" fillId="7" borderId="1" xfId="3" applyNumberFormat="1" applyFont="1" applyFill="1" applyBorder="1" applyAlignment="1" applyProtection="1">
      <alignment horizontal="center" vertical="center"/>
      <protection hidden="1"/>
    </xf>
    <xf numFmtId="0" fontId="1" fillId="0" borderId="0" xfId="3" applyAlignment="1" applyProtection="1">
      <alignment horizontal="center" vertical="center"/>
      <protection locked="0"/>
    </xf>
    <xf numFmtId="6" fontId="23" fillId="7" borderId="0" xfId="3" applyNumberFormat="1" applyFont="1" applyFill="1" applyAlignment="1" applyProtection="1">
      <alignment vertical="center"/>
      <protection locked="0"/>
    </xf>
    <xf numFmtId="6" fontId="28" fillId="7" borderId="0" xfId="3" applyNumberFormat="1" applyFont="1" applyFill="1" applyAlignment="1" applyProtection="1">
      <alignment vertical="center"/>
      <protection locked="0"/>
    </xf>
    <xf numFmtId="0" fontId="28" fillId="7" borderId="0" xfId="3" applyFont="1" applyFill="1" applyAlignment="1" applyProtection="1">
      <alignment vertical="center"/>
      <protection locked="0"/>
    </xf>
    <xf numFmtId="6" fontId="24" fillId="7" borderId="0" xfId="3" applyNumberFormat="1" applyFont="1" applyFill="1" applyAlignment="1" applyProtection="1">
      <alignment vertical="center"/>
      <protection locked="0"/>
    </xf>
    <xf numFmtId="0" fontId="1" fillId="7" borderId="0" xfId="3" applyFill="1" applyAlignment="1" applyProtection="1">
      <alignment vertical="center"/>
      <protection locked="0"/>
    </xf>
    <xf numFmtId="6" fontId="11" fillId="7" borderId="0" xfId="3" applyNumberFormat="1" applyFont="1" applyFill="1" applyAlignment="1" applyProtection="1">
      <alignment vertical="center"/>
      <protection locked="0"/>
    </xf>
    <xf numFmtId="8" fontId="25" fillId="7" borderId="0" xfId="3" applyNumberFormat="1" applyFont="1" applyFill="1" applyAlignment="1">
      <alignment vertical="center"/>
    </xf>
    <xf numFmtId="0" fontId="23" fillId="8" borderId="0" xfId="3" applyFont="1" applyFill="1" applyAlignment="1" applyProtection="1">
      <alignment vertical="center"/>
      <protection locked="0"/>
    </xf>
    <xf numFmtId="6" fontId="23" fillId="8" borderId="0" xfId="3" applyNumberFormat="1" applyFont="1" applyFill="1" applyAlignment="1" applyProtection="1">
      <alignment vertical="center"/>
      <protection locked="0"/>
    </xf>
    <xf numFmtId="6" fontId="28" fillId="8" borderId="0" xfId="3" applyNumberFormat="1" applyFont="1" applyFill="1" applyAlignment="1" applyProtection="1">
      <alignment vertical="center"/>
      <protection locked="0"/>
    </xf>
    <xf numFmtId="0" fontId="24" fillId="8" borderId="0" xfId="3" applyFont="1" applyFill="1" applyAlignment="1" applyProtection="1">
      <alignment vertical="center"/>
      <protection locked="0"/>
    </xf>
    <xf numFmtId="6" fontId="24" fillId="8" borderId="0" xfId="3" applyNumberFormat="1" applyFont="1" applyFill="1" applyAlignment="1" applyProtection="1">
      <alignment vertical="center"/>
      <protection locked="0"/>
    </xf>
    <xf numFmtId="0" fontId="1" fillId="8" borderId="0" xfId="3" applyFill="1" applyAlignment="1" applyProtection="1">
      <alignment vertical="center"/>
      <protection locked="0"/>
    </xf>
    <xf numFmtId="0" fontId="11" fillId="8" borderId="0" xfId="3" applyFont="1" applyFill="1" applyAlignment="1" applyProtection="1">
      <alignment vertical="center"/>
      <protection locked="0"/>
    </xf>
    <xf numFmtId="6" fontId="11" fillId="8" borderId="0" xfId="3" applyNumberFormat="1" applyFont="1" applyFill="1" applyAlignment="1" applyProtection="1">
      <alignment vertical="center"/>
      <protection locked="0"/>
    </xf>
    <xf numFmtId="0" fontId="25" fillId="8" borderId="0" xfId="3" applyFont="1" applyFill="1" applyAlignment="1" applyProtection="1">
      <alignment vertical="center"/>
      <protection locked="0"/>
    </xf>
    <xf numFmtId="8" fontId="25" fillId="8" borderId="0" xfId="3" applyNumberFormat="1" applyFont="1" applyFill="1" applyAlignment="1">
      <alignment vertical="center"/>
    </xf>
    <xf numFmtId="166" fontId="24" fillId="8" borderId="0" xfId="1" applyNumberFormat="1" applyFont="1" applyFill="1" applyAlignment="1" applyProtection="1">
      <alignment vertical="center"/>
      <protection locked="0"/>
    </xf>
    <xf numFmtId="0" fontId="2" fillId="0" borderId="0" xfId="3" applyFont="1" applyAlignment="1" applyProtection="1">
      <alignment horizontal="center" vertical="center"/>
      <protection locked="0"/>
    </xf>
    <xf numFmtId="0" fontId="1" fillId="0" borderId="4" xfId="3" applyBorder="1" applyAlignment="1" applyProtection="1">
      <alignment horizontal="center" vertical="center"/>
      <protection locked="0"/>
    </xf>
    <xf numFmtId="0" fontId="1" fillId="8" borderId="0" xfId="3" applyFill="1" applyAlignment="1" applyProtection="1">
      <alignment horizontal="center" vertical="center"/>
      <protection locked="0"/>
    </xf>
    <xf numFmtId="0" fontId="1" fillId="0" borderId="4" xfId="3" applyBorder="1" applyAlignment="1" applyProtection="1">
      <alignment vertical="center"/>
      <protection locked="0"/>
    </xf>
    <xf numFmtId="164" fontId="1" fillId="0" borderId="4" xfId="1" applyNumberFormat="1" applyBorder="1" applyAlignment="1" applyProtection="1">
      <alignment vertical="center"/>
      <protection locked="0"/>
    </xf>
    <xf numFmtId="165" fontId="1" fillId="0" borderId="4" xfId="1" applyNumberFormat="1" applyBorder="1" applyAlignment="1" applyProtection="1">
      <alignment vertical="center"/>
      <protection locked="0"/>
    </xf>
    <xf numFmtId="0" fontId="17" fillId="4" borderId="0" xfId="3" applyFont="1" applyFill="1" applyAlignment="1" applyProtection="1">
      <alignment vertical="center"/>
      <protection hidden="1"/>
    </xf>
    <xf numFmtId="6" fontId="3" fillId="17" borderId="2" xfId="3" applyNumberFormat="1" applyFont="1" applyFill="1" applyBorder="1" applyAlignment="1" applyProtection="1">
      <alignment vertical="center"/>
      <protection hidden="1"/>
    </xf>
    <xf numFmtId="0" fontId="30" fillId="17" borderId="2" xfId="3" applyFont="1" applyFill="1" applyBorder="1" applyAlignment="1" applyProtection="1">
      <alignment vertical="center"/>
      <protection hidden="1"/>
    </xf>
    <xf numFmtId="0" fontId="27" fillId="18" borderId="0" xfId="3" applyFont="1" applyFill="1" applyAlignment="1" applyProtection="1">
      <alignment vertical="center"/>
      <protection hidden="1"/>
    </xf>
    <xf numFmtId="6" fontId="27" fillId="18" borderId="0" xfId="3" applyNumberFormat="1" applyFont="1" applyFill="1" applyAlignment="1" applyProtection="1">
      <alignment horizontal="right" vertical="center"/>
      <protection hidden="1"/>
    </xf>
    <xf numFmtId="0" fontId="31" fillId="19" borderId="0" xfId="3" applyFont="1" applyFill="1" applyAlignment="1" applyProtection="1">
      <alignment vertical="center"/>
      <protection locked="0"/>
    </xf>
    <xf numFmtId="166" fontId="1" fillId="0" borderId="0" xfId="3" applyNumberFormat="1" applyAlignment="1" applyProtection="1">
      <alignment vertical="center"/>
      <protection locked="0"/>
    </xf>
    <xf numFmtId="6" fontId="1" fillId="8" borderId="0" xfId="3" applyNumberFormat="1" applyFill="1" applyAlignment="1" applyProtection="1">
      <alignment vertical="center"/>
      <protection locked="0"/>
    </xf>
    <xf numFmtId="6" fontId="1" fillId="4" borderId="0" xfId="3" applyNumberFormat="1" applyFill="1" applyAlignment="1" applyProtection="1">
      <alignment vertical="center"/>
      <protection hidden="1"/>
    </xf>
    <xf numFmtId="164" fontId="32" fillId="17" borderId="2" xfId="3" applyNumberFormat="1" applyFont="1" applyFill="1" applyBorder="1" applyAlignment="1" applyProtection="1">
      <alignment horizontal="center" vertical="center"/>
      <protection hidden="1"/>
    </xf>
    <xf numFmtId="164" fontId="33" fillId="6" borderId="2" xfId="3" applyNumberFormat="1" applyFont="1" applyFill="1" applyBorder="1" applyAlignment="1" applyProtection="1">
      <alignment horizontal="center" vertical="center"/>
      <protection hidden="1"/>
    </xf>
    <xf numFmtId="164" fontId="33" fillId="12" borderId="2" xfId="3" applyNumberFormat="1" applyFont="1" applyFill="1" applyBorder="1" applyAlignment="1" applyProtection="1">
      <alignment vertical="center"/>
      <protection hidden="1"/>
    </xf>
    <xf numFmtId="10" fontId="22" fillId="3" borderId="3" xfId="4" applyNumberFormat="1" applyFont="1" applyFill="1" applyBorder="1" applyAlignment="1" applyProtection="1">
      <alignment vertical="center"/>
      <protection locked="0"/>
    </xf>
    <xf numFmtId="10" fontId="27" fillId="3" borderId="3" xfId="4" applyNumberFormat="1" applyFont="1" applyFill="1" applyBorder="1" applyAlignment="1" applyProtection="1">
      <alignment vertical="center"/>
      <protection locked="0"/>
    </xf>
    <xf numFmtId="6" fontId="1" fillId="7" borderId="0" xfId="3" applyNumberFormat="1" applyFill="1" applyAlignment="1" applyProtection="1">
      <alignment vertical="center"/>
      <protection locked="0"/>
    </xf>
    <xf numFmtId="0" fontId="2" fillId="4" borderId="5" xfId="3" applyFont="1" applyFill="1" applyBorder="1" applyAlignment="1" applyProtection="1">
      <alignment vertical="center"/>
      <protection hidden="1"/>
    </xf>
    <xf numFmtId="0" fontId="1" fillId="3" borderId="5" xfId="3" applyFill="1" applyBorder="1" applyAlignment="1" applyProtection="1">
      <alignment horizontal="center" vertical="center"/>
      <protection locked="0"/>
    </xf>
    <xf numFmtId="0" fontId="24" fillId="4" borderId="5" xfId="3" applyFont="1" applyFill="1" applyBorder="1" applyAlignment="1" applyProtection="1">
      <alignment vertical="center"/>
      <protection hidden="1"/>
    </xf>
    <xf numFmtId="0" fontId="27" fillId="3" borderId="5" xfId="3" applyFont="1" applyFill="1" applyBorder="1" applyAlignment="1" applyProtection="1">
      <alignment horizontal="center" vertical="center"/>
      <protection locked="0"/>
    </xf>
    <xf numFmtId="0" fontId="18" fillId="4" borderId="0" xfId="3" applyFont="1" applyFill="1" applyAlignment="1" applyProtection="1">
      <alignment horizontal="right" vertical="center"/>
      <protection hidden="1"/>
    </xf>
    <xf numFmtId="0" fontId="2" fillId="7" borderId="0" xfId="3" applyFont="1" applyFill="1" applyAlignment="1" applyProtection="1">
      <alignment horizontal="center" vertical="center"/>
      <protection locked="0"/>
    </xf>
  </cellXfs>
  <cellStyles count="5">
    <cellStyle name="Comma" xfId="1" builtinId="3"/>
    <cellStyle name="Currency" xfId="2" builtinId="4"/>
    <cellStyle name="Normal" xfId="0" builtinId="0"/>
    <cellStyle name="Normal 2" xfId="3" xr:uid="{00000000-0005-0000-0000-000003000000}"/>
    <cellStyle name="Percent" xfId="4" builtinId="5"/>
  </cellStyles>
  <dxfs count="0"/>
  <tableStyles count="0" defaultTableStyle="TableStyleMedium9" defaultPivotStyle="PivotStyleLight16"/>
  <colors>
    <mruColors>
      <color rgb="FF6E558D"/>
      <color rgb="FF399AB5"/>
      <color rgb="FF50AEC8"/>
      <color rgb="FFE6E6FA"/>
      <color rgb="FF25384B"/>
      <color rgb="FF334E68"/>
      <color rgb="FF0192FF"/>
      <color rgb="FFEDF7F9"/>
      <color rgb="FFF0FAFE"/>
      <color rgb="FFE7F6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Investment and Gain %</a:t>
            </a:r>
          </a:p>
        </c:rich>
      </c:tx>
      <c:layout>
        <c:manualLayout>
          <c:xMode val="edge"/>
          <c:yMode val="edge"/>
          <c:x val="0.57301609038000689"/>
          <c:y val="3.338102468355927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78135341777924E-2"/>
          <c:y val="0.13845809454802882"/>
          <c:w val="0.52879253829982964"/>
          <c:h val="0.83702393708596801"/>
        </c:manualLayout>
      </c:layout>
      <c:pieChart>
        <c:varyColors val="1"/>
        <c:ser>
          <c:idx val="0"/>
          <c:order val="0"/>
          <c:tx>
            <c:v>Amounts</c:v>
          </c:tx>
          <c:spPr>
            <a:ln w="3175">
              <a:noFill/>
            </a:ln>
            <a:scene3d>
              <a:camera prst="orthographicFront"/>
              <a:lightRig rig="threePt" dir="t"/>
            </a:scene3d>
            <a:sp3d>
              <a:bevelT w="19050" h="6350"/>
              <a:bevelB w="0" h="0"/>
            </a:sp3d>
          </c:spPr>
          <c:dPt>
            <c:idx val="0"/>
            <c:bubble3D val="0"/>
            <c:spPr>
              <a:solidFill>
                <a:srgbClr val="AEDFF7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0E-ED5C-476D-82CE-0A2AB3DD3BB5}"/>
              </c:ext>
            </c:extLst>
          </c:dPt>
          <c:dPt>
            <c:idx val="1"/>
            <c:bubble3D val="0"/>
            <c:spPr>
              <a:solidFill>
                <a:srgbClr val="FFB5A7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10-ED5C-476D-82CE-0A2AB3DD3BB5}"/>
              </c:ext>
            </c:extLst>
          </c:dPt>
          <c:dPt>
            <c:idx val="2"/>
            <c:bubble3D val="0"/>
            <c:spPr>
              <a:solidFill>
                <a:srgbClr val="CDB4DB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12-ED5C-476D-82CE-0A2AB3DD3BB5}"/>
              </c:ext>
            </c:extLst>
          </c:dPt>
          <c:dPt>
            <c:idx val="3"/>
            <c:bubble3D val="0"/>
            <c:spPr>
              <a:solidFill>
                <a:srgbClr val="D0F4DE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14-ED5C-476D-82CE-0A2AB3DD3BB5}"/>
              </c:ext>
            </c:extLst>
          </c:dPt>
          <c:dPt>
            <c:idx val="4"/>
            <c:bubble3D val="0"/>
            <c:spPr>
              <a:solidFill>
                <a:srgbClr val="399AB5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16-ED5C-476D-82CE-0A2AB3DD3BB5}"/>
              </c:ext>
            </c:extLst>
          </c:dPt>
          <c:dPt>
            <c:idx val="5"/>
            <c:bubble3D val="0"/>
            <c:spPr>
              <a:solidFill>
                <a:srgbClr val="6E558D"/>
              </a:solidFill>
              <a:ln w="3175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" h="6350"/>
                <a:bevelB w="0" h="0"/>
              </a:sp3d>
            </c:spPr>
            <c:extLst>
              <c:ext xmlns:c16="http://schemas.microsoft.com/office/drawing/2014/chart" uri="{C3380CC4-5D6E-409C-BE32-E72D297353CC}">
                <c16:uniqueId val="{00000017-ED5C-476D-82CE-0A2AB3DD3BB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002060"/>
                    </a:solidFill>
                    <a:effectLst>
                      <a:glow rad="63500">
                        <a:schemeClr val="bg1"/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[0]!GoalChartLbl</c:f>
              <c:strCache>
                <c:ptCount val="6"/>
                <c:pt idx="0">
                  <c:v>Current Corpus</c:v>
                </c:pt>
                <c:pt idx="1">
                  <c:v>Cur. Corpus Gain</c:v>
                </c:pt>
                <c:pt idx="2">
                  <c:v>Lumpsum</c:v>
                </c:pt>
                <c:pt idx="3">
                  <c:v>Lumpsum Gain</c:v>
                </c:pt>
                <c:pt idx="4">
                  <c:v>SIP Invested</c:v>
                </c:pt>
                <c:pt idx="5">
                  <c:v>SIP Gain</c:v>
                </c:pt>
              </c:strCache>
            </c:strRef>
          </c:cat>
          <c:val>
            <c:numRef>
              <c:f>[0]!GoalChart</c:f>
              <c:numCache>
                <c:formatCode>General</c:formatCode>
                <c:ptCount val="6"/>
                <c:pt idx="0">
                  <c:v>500000</c:v>
                </c:pt>
                <c:pt idx="1">
                  <c:v>972393.57267949148</c:v>
                </c:pt>
                <c:pt idx="2">
                  <c:v>100000</c:v>
                </c:pt>
                <c:pt idx="3">
                  <c:v>210584.82083442109</c:v>
                </c:pt>
                <c:pt idx="4">
                  <c:v>4929385.0271330327</c:v>
                </c:pt>
                <c:pt idx="5">
                  <c:v>3865840.5411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5C-476D-82CE-0A2AB3DD3BB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1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411559968047472"/>
          <c:y val="0.3567384548528213"/>
          <c:w val="0.30363956313312074"/>
          <c:h val="0.37553915611718236"/>
        </c:manualLayout>
      </c:layout>
      <c:overlay val="0"/>
      <c:spPr>
        <a:solidFill>
          <a:srgbClr val="DCE3EC"/>
        </a:solidFill>
        <a:ln>
          <a:noFill/>
        </a:ln>
        <a:effectLst>
          <a:outerShdw blurRad="38100" sx="101000" sy="101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showDLblsOverMax val="0"/>
    <c:extLst/>
  </c:chart>
  <c:spPr>
    <a:gradFill>
      <a:gsLst>
        <a:gs pos="0">
          <a:srgbClr val="1388B6"/>
        </a:gs>
        <a:gs pos="77000">
          <a:srgbClr val="3ABCD9"/>
        </a:gs>
      </a:gsLst>
      <a:lin ang="5400000" scaled="1"/>
    </a:gradFill>
    <a:ln w="6350" cap="flat" cmpd="sng" algn="ctr">
      <a:solidFill>
        <a:schemeClr val="accent5">
          <a:lumMod val="50000"/>
        </a:schemeClr>
      </a:solidFill>
      <a:prstDash val="solid"/>
      <a:round/>
    </a:ln>
    <a:effectLst/>
    <a:scene3d>
      <a:camera prst="orthographicFront"/>
      <a:lightRig rig="threePt" dir="t"/>
    </a:scene3d>
    <a:sp3d>
      <a:bevelT w="38100" h="69850" prst="slope"/>
    </a:sp3d>
  </c:spPr>
  <c:txPr>
    <a:bodyPr/>
    <a:lstStyle/>
    <a:p>
      <a:pPr>
        <a:defRPr>
          <a:solidFill>
            <a:srgbClr val="0070C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$T$6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1005840</xdr:colOff>
          <xdr:row>14</xdr:row>
          <xdr:rowOff>129540</xdr:rowOff>
        </xdr:from>
        <xdr:to>
          <xdr:col>3</xdr:col>
          <xdr:colOff>701040</xdr:colOff>
          <xdr:row>16</xdr:row>
          <xdr:rowOff>15240</xdr:rowOff>
        </xdr:to>
        <xdr:sp macro="" textlink="">
          <xdr:nvSpPr>
            <xdr:cNvPr id="12290" name="optCalculated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Calculated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1005840</xdr:colOff>
          <xdr:row>15</xdr:row>
          <xdr:rowOff>137160</xdr:rowOff>
        </xdr:from>
        <xdr:to>
          <xdr:col>3</xdr:col>
          <xdr:colOff>701040</xdr:colOff>
          <xdr:row>17</xdr:row>
          <xdr:rowOff>15240</xdr:rowOff>
        </xdr:to>
        <xdr:sp macro="" textlink="">
          <xdr:nvSpPr>
            <xdr:cNvPr id="12291" name="optOverride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Override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228600</xdr:colOff>
      <xdr:row>7</xdr:row>
      <xdr:rowOff>76200</xdr:rowOff>
    </xdr:from>
    <xdr:to>
      <xdr:col>7</xdr:col>
      <xdr:colOff>922020</xdr:colOff>
      <xdr:row>21</xdr:row>
      <xdr:rowOff>4354</xdr:rowOff>
    </xdr:to>
    <xdr:graphicFrame macro="">
      <xdr:nvGraphicFramePr>
        <xdr:cNvPr id="2" name="GoalChart" descr="Goal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304800</xdr:colOff>
      <xdr:row>8</xdr:row>
      <xdr:rowOff>0</xdr:rowOff>
    </xdr:from>
    <xdr:to>
      <xdr:col>5</xdr:col>
      <xdr:colOff>419100</xdr:colOff>
      <xdr:row>9</xdr:row>
      <xdr:rowOff>101608</xdr:rowOff>
    </xdr:to>
    <xdr:sp macro="" textlink="">
      <xdr:nvSpPr>
        <xdr:cNvPr id="3" name="ChartLogoBack">
          <a:extLst>
            <a:ext uri="{FF2B5EF4-FFF2-40B4-BE49-F238E27FC236}">
              <a16:creationId xmlns:a16="http://schemas.microsoft.com/office/drawing/2014/main" id="{7F2BD8C8-D634-4A39-9456-D6C58DBF7851}"/>
            </a:ext>
          </a:extLst>
        </xdr:cNvPr>
        <xdr:cNvSpPr/>
      </xdr:nvSpPr>
      <xdr:spPr>
        <a:xfrm>
          <a:off x="5745480" y="1424940"/>
          <a:ext cx="571500" cy="2692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350543</xdr:colOff>
      <xdr:row>8</xdr:row>
      <xdr:rowOff>53347</xdr:rowOff>
    </xdr:from>
    <xdr:to>
      <xdr:col>5</xdr:col>
      <xdr:colOff>383545</xdr:colOff>
      <xdr:row>9</xdr:row>
      <xdr:rowOff>60816</xdr:rowOff>
    </xdr:to>
    <xdr:pic>
      <xdr:nvPicPr>
        <xdr:cNvPr id="4" name="LogoChart">
          <a:extLst>
            <a:ext uri="{FF2B5EF4-FFF2-40B4-BE49-F238E27FC236}">
              <a16:creationId xmlns:a16="http://schemas.microsoft.com/office/drawing/2014/main" id="{7CB69ED8-725C-4056-8D5D-7A23BAB40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3" y="1447807"/>
          <a:ext cx="490202" cy="1751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114300</xdr:rowOff>
        </xdr:from>
        <xdr:to>
          <xdr:col>5</xdr:col>
          <xdr:colOff>60960</xdr:colOff>
          <xdr:row>23</xdr:row>
          <xdr:rowOff>53340</xdr:rowOff>
        </xdr:to>
        <xdr:sp macro="" textlink="">
          <xdr:nvSpPr>
            <xdr:cNvPr id="12420" name="prtGoalPlan" hidden="1">
              <a:extLst>
                <a:ext uri="{63B3BB69-23CF-44E3-9099-C40C66FF867C}">
                  <a14:compatExt spid="_x0000_s12420"/>
                </a:ext>
                <a:ext uri="{FF2B5EF4-FFF2-40B4-BE49-F238E27FC236}">
                  <a16:creationId xmlns:a16="http://schemas.microsoft.com/office/drawing/2014/main" id="{00000000-0008-0000-0000-00008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</xdr:col>
      <xdr:colOff>7620</xdr:colOff>
      <xdr:row>0</xdr:row>
      <xdr:rowOff>76200</xdr:rowOff>
    </xdr:from>
    <xdr:to>
      <xdr:col>1</xdr:col>
      <xdr:colOff>1434753</xdr:colOff>
      <xdr:row>2</xdr:row>
      <xdr:rowOff>109412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C67CCDA-ACFB-4961-B7AB-195DFEE41050}"/>
            </a:ext>
          </a:extLst>
        </xdr:cNvPr>
        <xdr:cNvGrpSpPr/>
      </xdr:nvGrpSpPr>
      <xdr:grpSpPr>
        <a:xfrm>
          <a:off x="350520" y="76200"/>
          <a:ext cx="1427133" cy="421832"/>
          <a:chOff x="220134" y="42333"/>
          <a:chExt cx="1427133" cy="42183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6BAD79E-9DF2-50B1-F493-084BAC27BF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BFD50C09-F8F9-39AB-A3CB-64737556589D}"/>
              </a:ext>
            </a:extLst>
          </xdr:cNvPr>
          <xdr:cNvSpPr/>
        </xdr:nvSpPr>
        <xdr:spPr>
          <a:xfrm>
            <a:off x="567267" y="152399"/>
            <a:ext cx="1080000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</a:rPr>
              <a:t>NIVRA</a:t>
            </a:r>
            <a:r>
              <a:rPr lang="en-US" sz="1100" baseline="0">
                <a:solidFill>
                  <a:srgbClr val="AA9B28"/>
                </a:solidFill>
              </a:rPr>
              <a:t> FINTECH</a:t>
            </a:r>
            <a:endParaRPr lang="en-US" sz="1100">
              <a:solidFill>
                <a:srgbClr val="AA9B28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8046-C80C-4DBF-9EC7-9ADC28C93AD3}">
  <sheetPr codeName="GoalCalc">
    <tabColor theme="7" tint="-0.249977111117893"/>
  </sheetPr>
  <dimension ref="A1:AU612"/>
  <sheetViews>
    <sheetView showGridLines="0" tabSelected="1" zoomScaleNormal="100" workbookViewId="0">
      <selection activeCell="C4" sqref="C4"/>
    </sheetView>
  </sheetViews>
  <sheetFormatPr defaultColWidth="0" defaultRowHeight="13.2" zeroHeight="1" x14ac:dyDescent="0.25"/>
  <cols>
    <col min="1" max="1" width="5" style="2" customWidth="1"/>
    <col min="2" max="2" width="48.109375" style="2" bestFit="1" customWidth="1"/>
    <col min="3" max="3" width="14.77734375" style="2" customWidth="1"/>
    <col min="4" max="4" width="11.44140625" style="2" bestFit="1" customWidth="1"/>
    <col min="5" max="5" width="6.6640625" style="2" customWidth="1"/>
    <col min="6" max="6" width="8.44140625" style="2" customWidth="1"/>
    <col min="7" max="7" width="25.88671875" style="2" customWidth="1"/>
    <col min="8" max="8" width="18.77734375" style="2" customWidth="1"/>
    <col min="9" max="9" width="6.88671875" style="3" hidden="1" customWidth="1"/>
    <col min="10" max="10" width="13.33203125" style="3" hidden="1" customWidth="1"/>
    <col min="11" max="11" width="12.21875" style="3" hidden="1" customWidth="1"/>
    <col min="12" max="12" width="3.77734375" style="3" hidden="1" customWidth="1"/>
    <col min="13" max="13" width="4" style="3" hidden="1" customWidth="1"/>
    <col min="14" max="14" width="23.5546875" style="3" hidden="1" customWidth="1"/>
    <col min="15" max="15" width="12" style="3" hidden="1" customWidth="1"/>
    <col min="16" max="16" width="9.6640625" style="3" hidden="1" customWidth="1"/>
    <col min="17" max="17" width="3.77734375" style="3" hidden="1" customWidth="1"/>
    <col min="18" max="18" width="6.88671875" style="3" hidden="1" customWidth="1"/>
    <col min="19" max="19" width="10.21875" style="3" hidden="1" customWidth="1"/>
    <col min="20" max="20" width="13.6640625" style="3" hidden="1" customWidth="1"/>
    <col min="21" max="21" width="15.44140625" style="3" hidden="1" customWidth="1"/>
    <col min="22" max="22" width="10.77734375" style="3" hidden="1" customWidth="1"/>
    <col min="23" max="23" width="13.21875" style="3" hidden="1" customWidth="1"/>
    <col min="24" max="25" width="12" style="3" hidden="1" customWidth="1"/>
    <col min="26" max="27" width="6.88671875" style="3" hidden="1" customWidth="1"/>
    <col min="28" max="28" width="11.6640625" style="3" hidden="1" customWidth="1"/>
    <col min="29" max="32" width="6.88671875" style="3" hidden="1" customWidth="1"/>
    <col min="33" max="33" width="4" style="3" hidden="1" customWidth="1"/>
    <col min="34" max="34" width="6.88671875" style="3" hidden="1" customWidth="1"/>
    <col min="35" max="35" width="28" style="3" hidden="1" customWidth="1"/>
    <col min="36" max="36" width="12" style="3" hidden="1" customWidth="1"/>
    <col min="37" max="37" width="6.88671875" style="3" hidden="1" customWidth="1"/>
    <col min="38" max="38" width="10.6640625" style="3" hidden="1" customWidth="1"/>
    <col min="39" max="39" width="6.88671875" style="3" hidden="1" customWidth="1"/>
    <col min="40" max="40" width="4.88671875" style="63" hidden="1" customWidth="1"/>
    <col min="41" max="41" width="6.44140625" style="63" hidden="1" customWidth="1"/>
    <col min="42" max="42" width="17" style="3" hidden="1" customWidth="1"/>
    <col min="43" max="43" width="18.109375" style="3" hidden="1" customWidth="1"/>
    <col min="44" max="44" width="9.5546875" style="3" hidden="1" customWidth="1"/>
    <col min="45" max="45" width="12.33203125" style="3" hidden="1" customWidth="1"/>
    <col min="46" max="47" width="0" style="3" hidden="1" customWidth="1"/>
    <col min="48" max="16384" width="6.88671875" style="3" hidden="1"/>
  </cols>
  <sheetData>
    <row r="1" spans="1:47" x14ac:dyDescent="0.25">
      <c r="A1" s="1"/>
      <c r="B1" s="1"/>
      <c r="C1" s="1"/>
      <c r="D1" s="1"/>
      <c r="E1" s="1"/>
      <c r="F1" s="1"/>
      <c r="G1" s="1"/>
      <c r="H1" s="1"/>
      <c r="J1" s="64">
        <f>FV(C10,J9,0,-C9,1)</f>
        <v>1472393.5726794915</v>
      </c>
      <c r="K1" s="65">
        <f>ROUND((J1-C9)*C11,0)</f>
        <v>194479</v>
      </c>
      <c r="L1" s="66" t="s">
        <v>37</v>
      </c>
      <c r="N1" s="71" t="s">
        <v>29</v>
      </c>
      <c r="O1" s="72">
        <f>FV(C10,GoalYears,0,-C9,1)</f>
        <v>1183681.8372960594</v>
      </c>
      <c r="P1" s="73">
        <f>ROUND((O1-C9)*C11,0)</f>
        <v>136736</v>
      </c>
      <c r="Q1" s="55" t="s">
        <v>37</v>
      </c>
      <c r="S1" s="19" t="s">
        <v>5</v>
      </c>
      <c r="T1" s="83" t="str">
        <f>IF($C$9&gt;0,T10,IF($C$13&gt;0,V10,X10))</f>
        <v>Current Corpus</v>
      </c>
      <c r="U1" s="83" t="str">
        <f>IF($C$9&gt;0,U10,IF($C$13&gt;0,W10,Y10))</f>
        <v>Cur. Corpus Gain</v>
      </c>
      <c r="V1" s="83" t="str">
        <f>IF($C$9&gt;0,IF($C$13&gt;0,V10,IF($C$9&gt;0,X10,"")),IF($C$13&gt;0,X10,""))</f>
        <v>Lumpsum</v>
      </c>
      <c r="W1" s="83" t="str">
        <f>IF($C$9&gt;0,IF($C$13&gt;0,W10,IF($C$9&gt;0,Y10,"")),IF($C$13&gt;0,Y10,""))</f>
        <v>Lumpsum Gain</v>
      </c>
      <c r="X1" s="83" t="str">
        <f>IF(AND($C$13&gt;0,$C$9&gt;0),X10,"")</f>
        <v>SIP Invested</v>
      </c>
      <c r="Y1" s="83" t="str">
        <f>IF(AND($C$13&gt;0,$C$9&gt;0),Y10,"")</f>
        <v>SIP Gain</v>
      </c>
      <c r="AB1" s="84">
        <f>IF(Y2&lt;&gt;"",6,IF(W2&lt;&gt;"",4,2))</f>
        <v>6</v>
      </c>
    </row>
    <row r="2" spans="1:47" ht="17.399999999999999" x14ac:dyDescent="0.25">
      <c r="A2" s="1"/>
      <c r="B2" s="107" t="s">
        <v>56</v>
      </c>
      <c r="C2" s="107"/>
      <c r="D2" s="107"/>
      <c r="E2" s="4"/>
      <c r="F2" s="4"/>
      <c r="G2" s="4"/>
      <c r="H2" s="4"/>
      <c r="J2" s="67">
        <f>FV(GRate,J9,0,-C13,1)</f>
        <v>413840.68523595133</v>
      </c>
      <c r="K2" s="65">
        <f>ROUND((J2-C13)*CapGainTax,0)</f>
        <v>39230</v>
      </c>
      <c r="L2" s="66" t="s">
        <v>37</v>
      </c>
      <c r="N2" s="74" t="s">
        <v>32</v>
      </c>
      <c r="O2" s="75">
        <f>FV(GRate,GoalYears,0,-C13,1)</f>
        <v>310584.82083442109</v>
      </c>
      <c r="P2" s="73">
        <f>ROUND((O2-C13)*CapGainTax,0)</f>
        <v>26323</v>
      </c>
      <c r="Q2" s="55" t="s">
        <v>37</v>
      </c>
      <c r="T2" s="83">
        <f t="shared" ref="T2:U3" si="0">IF($C$9&gt;0,T11,IF($C$13&gt;0,V11,X11))</f>
        <v>500000</v>
      </c>
      <c r="U2" s="83">
        <f t="shared" si="0"/>
        <v>972393.57267949148</v>
      </c>
      <c r="V2" s="83">
        <f t="shared" ref="V2:V3" si="1">IF($C$9&gt;0,IF($C$13&gt;0,V11,IF($C$9&gt;0,X11,"")),IF($C$13&gt;0,X11,""))</f>
        <v>100000</v>
      </c>
      <c r="W2" s="83">
        <f t="shared" ref="W2:W3" si="2">IF($C$9&gt;0,IF($C$13&gt;0,W11,IF($C$9&gt;0,Y11,"")),IF($C$13&gt;0,Y11,""))</f>
        <v>210584.82083442109</v>
      </c>
      <c r="X2" s="83">
        <f t="shared" ref="X2:Y3" si="3">IF(AND($C$13&gt;0,$C$9&gt;0),X11,"")</f>
        <v>4929385.0271330327</v>
      </c>
      <c r="Y2" s="83">
        <f t="shared" si="3"/>
        <v>3865840.5411</v>
      </c>
      <c r="AB2" s="19" t="s">
        <v>54</v>
      </c>
      <c r="AI2" s="5"/>
    </row>
    <row r="3" spans="1:47" ht="15.6" x14ac:dyDescent="0.25">
      <c r="A3" s="1"/>
      <c r="B3" s="1"/>
      <c r="C3" s="1"/>
      <c r="D3" s="1"/>
      <c r="E3" s="1"/>
      <c r="F3" s="4"/>
      <c r="G3" s="4"/>
      <c r="H3" s="1"/>
      <c r="J3" s="68">
        <f>(1+GRate)^(1/12)-1</f>
        <v>9.4887929345830457E-3</v>
      </c>
      <c r="K3" s="65"/>
      <c r="L3" s="68"/>
      <c r="N3" s="76" t="s">
        <v>22</v>
      </c>
      <c r="O3" s="76">
        <f>(1+GRate)^(1/12)-1</f>
        <v>9.4887929345830457E-3</v>
      </c>
      <c r="P3" s="73"/>
      <c r="T3" s="83" t="str">
        <f t="shared" si="0"/>
        <v>C-I</v>
      </c>
      <c r="U3" s="83" t="str">
        <f t="shared" si="0"/>
        <v>C-G</v>
      </c>
      <c r="V3" s="83" t="str">
        <f t="shared" si="1"/>
        <v>L-I</v>
      </c>
      <c r="W3" s="83" t="str">
        <f t="shared" si="2"/>
        <v>L-G</v>
      </c>
      <c r="X3" s="83" t="str">
        <f t="shared" si="3"/>
        <v>S-I</v>
      </c>
      <c r="Y3" s="83" t="str">
        <f t="shared" si="3"/>
        <v>S-G</v>
      </c>
      <c r="AI3" s="5"/>
    </row>
    <row r="4" spans="1:47" x14ac:dyDescent="0.25">
      <c r="A4" s="1"/>
      <c r="B4" s="7" t="s">
        <v>9</v>
      </c>
      <c r="C4" s="39">
        <v>10000000</v>
      </c>
      <c r="D4" s="8"/>
      <c r="E4" s="1"/>
      <c r="F4" s="105" t="s">
        <v>64</v>
      </c>
      <c r="G4" s="106" t="s">
        <v>66</v>
      </c>
      <c r="H4" s="1"/>
      <c r="J4" s="69">
        <f>IF((J1+J2)&gt;GoalAmt,0,ROUND(GoalAmt-(J1+J2)+(K1+K2),0))</f>
        <v>8347475</v>
      </c>
      <c r="K4" s="65">
        <f>J4+P11-J6</f>
        <v>-4833812.2136360109</v>
      </c>
      <c r="L4" s="68"/>
      <c r="N4" s="77" t="s">
        <v>8</v>
      </c>
      <c r="O4" s="78">
        <f>IF((O1+O2)&gt;GoalAmt,0,ROUND(GoalAmt-(O1+O2)+(P1+P2),0))</f>
        <v>8668792</v>
      </c>
      <c r="P4" s="73"/>
      <c r="AG4" s="5"/>
    </row>
    <row r="5" spans="1:47" x14ac:dyDescent="0.25">
      <c r="A5" s="1"/>
      <c r="B5" s="7" t="s">
        <v>1</v>
      </c>
      <c r="C5" s="10">
        <v>10</v>
      </c>
      <c r="D5" s="8" t="s">
        <v>11</v>
      </c>
      <c r="E5" s="1"/>
      <c r="F5" s="103" t="s">
        <v>65</v>
      </c>
      <c r="G5" s="104">
        <v>25</v>
      </c>
      <c r="H5" s="1"/>
      <c r="J5" s="70">
        <f>PMT(J3,J9*12,0,-J4,1)</f>
        <v>25000.883209816431</v>
      </c>
      <c r="K5" s="65"/>
      <c r="L5" s="68"/>
      <c r="N5" s="79" t="s">
        <v>33</v>
      </c>
      <c r="O5" s="80">
        <f>SIPGoal/(((((1+SIPRate)^(O8)-1)/SIPRate)*(1+SIPRate))  - ((((((1+SIPRate)^(O8)-1)/SIPRate)*(1+SIPRate))-(O8))*CapGainTax))</f>
        <v>41078.20855944194</v>
      </c>
      <c r="P5" s="73">
        <v>1</v>
      </c>
      <c r="AG5" s="5"/>
    </row>
    <row r="6" spans="1:47" x14ac:dyDescent="0.25">
      <c r="A6" s="1"/>
      <c r="B6" s="7" t="s">
        <v>27</v>
      </c>
      <c r="C6" s="11">
        <v>0.12</v>
      </c>
      <c r="D6" s="8"/>
      <c r="E6" s="1"/>
      <c r="F6" s="1"/>
      <c r="G6" s="1"/>
      <c r="H6" s="1"/>
      <c r="J6" s="102">
        <f>FV(SIPRate,J8,-SIPAmount,0,1)</f>
        <v>13715488.213636011</v>
      </c>
      <c r="K6" s="65"/>
      <c r="L6" s="68"/>
      <c r="N6" s="76" t="s">
        <v>38</v>
      </c>
      <c r="O6" s="95">
        <f>FV(SIPRate,O8,-SIPAmount,0,1)</f>
        <v>9202992.9961238522</v>
      </c>
      <c r="P6" s="73"/>
      <c r="S6" s="9" t="s">
        <v>10</v>
      </c>
      <c r="T6" s="9">
        <v>1</v>
      </c>
      <c r="U6" s="56">
        <f>IF(C15&lt;=0,0,IF(T6=1,C16,C17))</f>
        <v>41078.20855944194</v>
      </c>
      <c r="V6" s="9"/>
      <c r="W6" s="9"/>
      <c r="AI6" s="19" t="s">
        <v>25</v>
      </c>
      <c r="AP6" s="45" t="s">
        <v>26</v>
      </c>
      <c r="AQ6" s="3">
        <f>COUNTIF(AN13:AN72,"&gt;0")</f>
        <v>10</v>
      </c>
    </row>
    <row r="7" spans="1:47" x14ac:dyDescent="0.25">
      <c r="A7" s="1"/>
      <c r="B7" s="52" t="s">
        <v>36</v>
      </c>
      <c r="C7" s="53">
        <v>0.125</v>
      </c>
      <c r="D7" s="51"/>
      <c r="E7" s="1"/>
      <c r="F7" s="1"/>
      <c r="G7" s="1"/>
      <c r="H7" s="1"/>
      <c r="J7" s="68"/>
      <c r="K7" s="68"/>
      <c r="L7" s="68"/>
      <c r="N7" s="76"/>
      <c r="O7" s="76"/>
      <c r="P7" s="73"/>
      <c r="T7" s="15"/>
      <c r="AI7" s="19" t="s">
        <v>13</v>
      </c>
      <c r="AP7" s="3" t="s">
        <v>12</v>
      </c>
      <c r="AQ7" s="3">
        <f>QUOTIENT(AQ10,12)</f>
        <v>10</v>
      </c>
      <c r="AR7" s="3">
        <f>AQ7+IF(AQ8=12,1,0)</f>
        <v>10</v>
      </c>
    </row>
    <row r="8" spans="1:47" x14ac:dyDescent="0.25">
      <c r="A8" s="1"/>
      <c r="B8" s="1"/>
      <c r="C8" s="1"/>
      <c r="D8" s="1"/>
      <c r="E8" s="1"/>
      <c r="F8" s="1"/>
      <c r="G8" s="1"/>
      <c r="H8" s="1"/>
      <c r="J8" s="68">
        <f>J9*12</f>
        <v>150.39202740144231</v>
      </c>
      <c r="K8" s="68" t="s">
        <v>53</v>
      </c>
      <c r="L8" s="68"/>
      <c r="N8" s="77" t="s">
        <v>2</v>
      </c>
      <c r="O8" s="77">
        <f>GoalYears*12</f>
        <v>120</v>
      </c>
      <c r="P8" s="81"/>
      <c r="T8" s="23"/>
      <c r="AP8" s="3" t="s">
        <v>14</v>
      </c>
      <c r="AQ8" s="3">
        <f>ROUNDUP(MOD(AQ10,12),0)</f>
        <v>0</v>
      </c>
      <c r="AR8" s="3">
        <f>IF(AQ8=12,0,AQ8)</f>
        <v>0</v>
      </c>
    </row>
    <row r="9" spans="1:47" x14ac:dyDescent="0.25">
      <c r="A9" s="1"/>
      <c r="B9" s="49" t="s">
        <v>29</v>
      </c>
      <c r="C9" s="50">
        <v>500000</v>
      </c>
      <c r="D9" s="46"/>
      <c r="E9" s="1"/>
      <c r="F9" s="1"/>
      <c r="G9" s="1"/>
      <c r="H9" s="1"/>
      <c r="J9" s="93">
        <v>12.532668950120193</v>
      </c>
      <c r="K9" s="68" t="s">
        <v>58</v>
      </c>
      <c r="L9" s="68"/>
      <c r="N9" s="76"/>
      <c r="O9" s="76"/>
      <c r="P9" s="73"/>
      <c r="T9" s="74" t="s">
        <v>55</v>
      </c>
      <c r="U9" s="74"/>
      <c r="V9" s="74"/>
      <c r="W9" s="74"/>
      <c r="X9" s="74"/>
      <c r="Y9" s="74"/>
    </row>
    <row r="10" spans="1:47" x14ac:dyDescent="0.25">
      <c r="A10" s="1"/>
      <c r="B10" s="47" t="s">
        <v>30</v>
      </c>
      <c r="C10" s="100">
        <v>0.09</v>
      </c>
      <c r="D10" s="47"/>
      <c r="E10" s="1"/>
      <c r="F10" s="1"/>
      <c r="G10" s="1"/>
      <c r="H10" s="1"/>
      <c r="J10" s="68"/>
      <c r="K10" s="68"/>
      <c r="L10" s="68"/>
      <c r="O10" s="16"/>
      <c r="P10" s="54"/>
      <c r="T10" s="85" t="s">
        <v>34</v>
      </c>
      <c r="U10" s="85" t="s">
        <v>35</v>
      </c>
      <c r="V10" s="85" t="s">
        <v>45</v>
      </c>
      <c r="W10" s="85" t="s">
        <v>46</v>
      </c>
      <c r="X10" s="85" t="s">
        <v>7</v>
      </c>
      <c r="Y10" s="85" t="s">
        <v>6</v>
      </c>
      <c r="AP10" s="3" t="s">
        <v>53</v>
      </c>
      <c r="AQ10" s="3">
        <f>ROUNDUP(IF(T6=1,O8,J8),2)</f>
        <v>120</v>
      </c>
    </row>
    <row r="11" spans="1:47" x14ac:dyDescent="0.25">
      <c r="A11" s="1"/>
      <c r="B11" s="48" t="s">
        <v>31</v>
      </c>
      <c r="C11" s="101">
        <v>0.2</v>
      </c>
      <c r="D11" s="48"/>
      <c r="E11" s="1"/>
      <c r="F11" s="1"/>
      <c r="G11" s="1"/>
      <c r="H11" s="1"/>
      <c r="J11" s="108" t="s">
        <v>44</v>
      </c>
      <c r="K11" s="108"/>
      <c r="L11" s="108"/>
      <c r="N11" s="3" t="s">
        <v>15</v>
      </c>
      <c r="O11" s="16">
        <f>SUM(N13:N612)</f>
        <v>4929385.0271330327</v>
      </c>
      <c r="P11" s="54">
        <f>ROUND((O12-O11)*CapGainTax,0)</f>
        <v>534201</v>
      </c>
      <c r="Q11" s="55" t="s">
        <v>37</v>
      </c>
      <c r="T11" s="86">
        <f>C9</f>
        <v>500000</v>
      </c>
      <c r="U11" s="86">
        <f>IF(T10=1, O1-T11,J1-T11)</f>
        <v>972393.57267949148</v>
      </c>
      <c r="V11" s="86">
        <f>C13</f>
        <v>100000</v>
      </c>
      <c r="W11" s="86">
        <f>IF(T6=1,O2-C13,J2-C13)</f>
        <v>210584.82083442109</v>
      </c>
      <c r="X11" s="87">
        <f>$O$11</f>
        <v>4929385.0271330327</v>
      </c>
      <c r="Y11" s="87">
        <v>3865840.5411</v>
      </c>
    </row>
    <row r="12" spans="1:47" x14ac:dyDescent="0.25">
      <c r="A12" s="1"/>
      <c r="B12" s="1"/>
      <c r="C12" s="1"/>
      <c r="D12" s="1"/>
      <c r="E12" s="1"/>
      <c r="F12" s="1"/>
      <c r="G12" s="1"/>
      <c r="H12" s="1"/>
      <c r="N12" s="19" t="s">
        <v>17</v>
      </c>
      <c r="O12" s="20">
        <f>MAX(O13:O612)</f>
        <v>9202992.9961238522</v>
      </c>
      <c r="P12" s="6"/>
      <c r="T12" s="85" t="s">
        <v>47</v>
      </c>
      <c r="U12" s="85" t="s">
        <v>48</v>
      </c>
      <c r="V12" s="85" t="s">
        <v>49</v>
      </c>
      <c r="W12" s="85" t="s">
        <v>50</v>
      </c>
      <c r="X12" s="85" t="s">
        <v>20</v>
      </c>
      <c r="Y12" s="85" t="s">
        <v>21</v>
      </c>
      <c r="AI12" s="82" t="s">
        <v>23</v>
      </c>
      <c r="AJ12" s="82" t="s">
        <v>24</v>
      </c>
      <c r="AK12" s="19"/>
      <c r="AL12" s="19" t="s">
        <v>51</v>
      </c>
      <c r="AN12" s="82" t="s">
        <v>52</v>
      </c>
      <c r="AO12" s="82" t="s">
        <v>0</v>
      </c>
      <c r="AP12" s="19" t="s">
        <v>43</v>
      </c>
      <c r="AQ12" s="19" t="s">
        <v>59</v>
      </c>
      <c r="AR12" s="19" t="s">
        <v>45</v>
      </c>
      <c r="AS12" s="19" t="s">
        <v>60</v>
      </c>
      <c r="AU12" s="19"/>
    </row>
    <row r="13" spans="1:47" x14ac:dyDescent="0.25">
      <c r="A13" s="1"/>
      <c r="B13" s="12" t="s">
        <v>28</v>
      </c>
      <c r="C13" s="13">
        <v>100000</v>
      </c>
      <c r="D13" s="14"/>
      <c r="E13" s="1"/>
      <c r="F13" s="1"/>
      <c r="G13" s="1"/>
      <c r="H13" s="1"/>
      <c r="J13" s="23"/>
      <c r="M13" s="3">
        <v>1</v>
      </c>
      <c r="N13" s="3">
        <f t="shared" ref="N13:N76" si="4">IF(M13&lt;=IF($T$6=1,$O$8,ROUNDUP($J$8,0)),SIPAmount,0)</f>
        <v>41078.20855944194</v>
      </c>
      <c r="O13" s="6">
        <f t="shared" ref="O13:O76" si="5">FV(SIPRate,M13,-N13,0,1)</f>
        <v>41467.991174586103</v>
      </c>
      <c r="P13" s="6"/>
      <c r="S13" s="23"/>
      <c r="AG13" s="3">
        <v>1</v>
      </c>
      <c r="AI13" s="23">
        <f>IF(C15&lt;=0,0,IF(AG13&lt;=$O$8,FV($O$3,AG13,-$O$5,0,1),0))</f>
        <v>41467.991174586103</v>
      </c>
      <c r="AJ13" s="44">
        <f>IF(C15&lt;=0,0,IF(AG13&lt;=$O$8,FV($O$3,AG13,-$C$17,0,1),0))</f>
        <v>28164.737322874866</v>
      </c>
      <c r="AL13" s="6">
        <f>O13</f>
        <v>41467.991174586103</v>
      </c>
      <c r="AN13" s="63">
        <v>1</v>
      </c>
      <c r="AO13" s="63">
        <f>IF(AND(AN13&lt;=$AQ$7,AS12&lt;&gt;$AQ$7),0,IF(AS12=AS11,0,$AQ$8))</f>
        <v>0</v>
      </c>
      <c r="AP13" s="16" cm="1">
        <f t="array" ref="AP13">IF(AO13=0,IF(AN13&gt;0,INDEX($AL$13:$AL$610,AN13*12),0),INDEX($AL$13:$AL$610,AN13*12+AO13))</f>
        <v>524424.86365301348</v>
      </c>
      <c r="AQ13" s="16">
        <f>IF(AN13&gt;0,FV($C$10,AN13+IF(AO13&gt;0,MOD($J$9,12),0),0,-$C$9,1),0)</f>
        <v>545000</v>
      </c>
      <c r="AR13" s="16">
        <f>IF(AN13&gt;0,FV($C$6,AN13+IF(AO13&gt;0,MOD($J$9,12),0),0,-$C$13,1),0)</f>
        <v>112000.00000000001</v>
      </c>
      <c r="AS13" s="94">
        <f>AP13+AQ13+AR13</f>
        <v>1181424.8636530135</v>
      </c>
    </row>
    <row r="14" spans="1:47" x14ac:dyDescent="0.25">
      <c r="A14" s="1"/>
      <c r="B14" s="1"/>
      <c r="C14" s="1"/>
      <c r="D14" s="1"/>
      <c r="E14" s="1"/>
      <c r="F14" s="1"/>
      <c r="G14" s="1"/>
      <c r="H14" s="1"/>
      <c r="J14" s="23">
        <f>IF((J1+J2)&gt;GoalAmt,0,ROUND(GoalAmt-(O1+O2)+(P1+P2),0))</f>
        <v>8668792</v>
      </c>
      <c r="K14" s="23">
        <f>J14+P11-J6</f>
        <v>-4512495.2136360109</v>
      </c>
      <c r="M14" s="3">
        <v>2</v>
      </c>
      <c r="N14" s="3">
        <f t="shared" si="4"/>
        <v>41078.20855944194</v>
      </c>
      <c r="O14" s="6">
        <f t="shared" si="5"/>
        <v>83329.463530841313</v>
      </c>
      <c r="P14" s="6"/>
      <c r="S14" s="15"/>
      <c r="AG14" s="3">
        <v>2</v>
      </c>
      <c r="AI14" s="23">
        <f t="shared" ref="AI14:AI77" si="6">IF(AG14&lt;=$O$8,FV($O$3,AG14,-$O$5,0,1),0)</f>
        <v>83329.463530841313</v>
      </c>
      <c r="AJ14" s="44">
        <f t="shared" ref="AJ14:AJ77" si="7">IF(OR(AJ13=0,AJ13&gt;=$C$15),0,FV($O$3,AG14,-$C$17,0,1))</f>
        <v>56596.724006263656</v>
      </c>
      <c r="AL14" s="6">
        <f t="shared" ref="AL14:AL77" si="8">O14</f>
        <v>83329.463530841313</v>
      </c>
      <c r="AN14" s="63">
        <f>IF($AQ$7&gt;AN13,IF(AN13=0,0,AN13+1),IF(OR(AN13=0,AN13=AS12),0,IF($AQ$8&gt;0,AN13,0)))</f>
        <v>2</v>
      </c>
      <c r="AO14" s="63">
        <f>IF(AND(AN14&lt;=$AQ$7,AN13&lt;&gt;$AQ$7),0,IF(AN13=AS12,0,$AQ$8))</f>
        <v>0</v>
      </c>
      <c r="AP14" s="16" cm="1">
        <f t="array" ref="AP14">IF(AO14=0,IF(AN14&gt;0,INDEX($AL$13:$AL$610,AN14*12),0),INDEX($AL$13:$AL$610,AN14*12+AO14))</f>
        <v>1111780.7109443888</v>
      </c>
      <c r="AQ14" s="16">
        <f t="shared" ref="AQ14:AQ72" si="9">IF(AN14&gt;0,FV($C$10,AN14+IF(AO14&gt;0,MOD($J$9,12),0),0,-$C$9,1),0)</f>
        <v>594050.00000000012</v>
      </c>
      <c r="AR14" s="16">
        <f t="shared" ref="AR14:AR72" si="10">IF(AN14&gt;0,FV($C$6,AN14+IF(AO14&gt;0,MOD($J$9,12),0),0,-$C$13,1),0)</f>
        <v>125440.00000000001</v>
      </c>
      <c r="AS14" s="94">
        <f t="shared" ref="AS14:AS72" si="11">AP14+AQ14+AR14</f>
        <v>1831270.710944389</v>
      </c>
    </row>
    <row r="15" spans="1:47" x14ac:dyDescent="0.25">
      <c r="A15" s="1"/>
      <c r="B15" s="17" t="s">
        <v>16</v>
      </c>
      <c r="C15" s="18">
        <f>IF(O4&lt;0,0,O4)</f>
        <v>8668792</v>
      </c>
      <c r="D15" s="17"/>
      <c r="E15" s="1"/>
      <c r="F15" s="1"/>
      <c r="G15" s="1"/>
      <c r="H15" s="1"/>
      <c r="M15" s="3">
        <v>3</v>
      </c>
      <c r="N15" s="3">
        <f t="shared" si="4"/>
        <v>41078.20855944194</v>
      </c>
      <c r="O15" s="6">
        <f t="shared" si="5"/>
        <v>125588.15073022187</v>
      </c>
      <c r="P15" s="6"/>
      <c r="AG15" s="3">
        <v>3</v>
      </c>
      <c r="AI15" s="23">
        <f t="shared" si="6"/>
        <v>125588.15073022187</v>
      </c>
      <c r="AJ15" s="44">
        <f t="shared" si="7"/>
        <v>85298.495924009971</v>
      </c>
      <c r="AL15" s="6">
        <f t="shared" si="8"/>
        <v>125588.15073022187</v>
      </c>
      <c r="AN15" s="63">
        <f t="shared" ref="AN15:AN72" si="12">IF($AQ$7&gt;AN14,IF(AN14=0,0,AN14+1),IF(OR(AN14=0,AN14=AN13),0,IF($AQ$8&gt;0,AN14,0)))</f>
        <v>3</v>
      </c>
      <c r="AO15" s="63">
        <f t="shared" ref="AO15:AO72" si="13">IF(AND(AN15&lt;=$AQ$7,AN14&lt;&gt;$AQ$7),0,IF(AN14=AN13,0,$AQ$8))</f>
        <v>0</v>
      </c>
      <c r="AP15" s="16" cm="1">
        <f t="array" ref="AP15">IF(AO15=0,IF(AN15&gt;0,INDEX($AL$13:$AL$610,AN15*12),0),INDEX($AL$13:$AL$610,AN15*12+AO15))</f>
        <v>1769619.2599107318</v>
      </c>
      <c r="AQ15" s="16">
        <f t="shared" si="9"/>
        <v>647514.50000000012</v>
      </c>
      <c r="AR15" s="16">
        <f t="shared" si="10"/>
        <v>140492.80000000005</v>
      </c>
      <c r="AS15" s="94">
        <f t="shared" si="11"/>
        <v>2557626.5599107323</v>
      </c>
    </row>
    <row r="16" spans="1:47" x14ac:dyDescent="0.25">
      <c r="A16" s="1"/>
      <c r="B16" s="21" t="s">
        <v>18</v>
      </c>
      <c r="C16" s="22">
        <f>O5</f>
        <v>41078.20855944194</v>
      </c>
      <c r="D16" s="21"/>
      <c r="E16" s="1"/>
      <c r="F16" s="1"/>
      <c r="G16" s="1"/>
      <c r="H16" s="1"/>
      <c r="M16" s="3">
        <v>4</v>
      </c>
      <c r="N16" s="3">
        <f t="shared" si="4"/>
        <v>41078.20855944194</v>
      </c>
      <c r="O16" s="6">
        <f t="shared" si="5"/>
        <v>168247.82186212405</v>
      </c>
      <c r="P16" s="6"/>
      <c r="AG16" s="3">
        <v>4</v>
      </c>
      <c r="AI16" s="23">
        <f t="shared" si="6"/>
        <v>168247.82186212405</v>
      </c>
      <c r="AJ16" s="44">
        <f t="shared" si="7"/>
        <v>114272.61301233903</v>
      </c>
      <c r="AL16" s="6">
        <f t="shared" si="8"/>
        <v>168247.82186212405</v>
      </c>
      <c r="AN16" s="63">
        <f t="shared" si="12"/>
        <v>4</v>
      </c>
      <c r="AO16" s="63">
        <f t="shared" si="13"/>
        <v>0</v>
      </c>
      <c r="AP16" s="16" cm="1">
        <f t="array" ref="AP16">IF(AO16=0,IF(AN16&gt;0,INDEX($AL$13:$AL$610,AN16*12),0),INDEX($AL$13:$AL$610,AN16*12+AO16))</f>
        <v>2506398.4347530352</v>
      </c>
      <c r="AQ16" s="16">
        <f t="shared" si="9"/>
        <v>705790.80500000017</v>
      </c>
      <c r="AR16" s="16">
        <f t="shared" si="10"/>
        <v>157351.93600000005</v>
      </c>
      <c r="AS16" s="94">
        <f t="shared" si="11"/>
        <v>3369541.1757530356</v>
      </c>
    </row>
    <row r="17" spans="1:45" ht="13.8" x14ac:dyDescent="0.25">
      <c r="A17" s="1"/>
      <c r="B17" s="36" t="s">
        <v>19</v>
      </c>
      <c r="C17" s="37">
        <v>27900</v>
      </c>
      <c r="D17" s="38"/>
      <c r="E17" s="1"/>
      <c r="F17" s="1"/>
      <c r="G17" s="1"/>
      <c r="H17" s="1"/>
      <c r="J17" s="6"/>
      <c r="M17" s="3">
        <v>5</v>
      </c>
      <c r="N17" s="3">
        <f t="shared" si="4"/>
        <v>41078.20855944194</v>
      </c>
      <c r="O17" s="6">
        <f t="shared" si="5"/>
        <v>211312.28178005447</v>
      </c>
      <c r="P17" s="6"/>
      <c r="S17" s="23"/>
      <c r="AG17" s="3">
        <v>5</v>
      </c>
      <c r="AI17" s="23">
        <f t="shared" si="6"/>
        <v>211312.28178005447</v>
      </c>
      <c r="AJ17" s="44">
        <f t="shared" si="7"/>
        <v>143521.65949818172</v>
      </c>
      <c r="AL17" s="6">
        <f t="shared" si="8"/>
        <v>211312.28178005447</v>
      </c>
      <c r="AN17" s="63">
        <f t="shared" si="12"/>
        <v>5</v>
      </c>
      <c r="AO17" s="63">
        <f t="shared" si="13"/>
        <v>0</v>
      </c>
      <c r="AP17" s="16" cm="1">
        <f t="array" ref="AP17">IF(AO17=0,IF(AN17&gt;0,INDEX($AL$13:$AL$610,AN17*12),0),INDEX($AL$13:$AL$610,AN17*12+AO17))</f>
        <v>3331591.1105764164</v>
      </c>
      <c r="AQ17" s="16">
        <f t="shared" si="9"/>
        <v>769311.97745000024</v>
      </c>
      <c r="AR17" s="16">
        <f t="shared" si="10"/>
        <v>176234.16832000006</v>
      </c>
      <c r="AS17" s="94">
        <f t="shared" si="11"/>
        <v>4277137.2563464167</v>
      </c>
    </row>
    <row r="18" spans="1:45" x14ac:dyDescent="0.25">
      <c r="A18" s="1"/>
      <c r="B18" s="60" t="s">
        <v>39</v>
      </c>
      <c r="C18" s="61" t="str">
        <f>AR7 &amp; " Y, " &amp; AR8 &amp; " M"</f>
        <v>10 Y, 0 M</v>
      </c>
      <c r="D18" s="62"/>
      <c r="E18" s="1"/>
      <c r="F18" s="1"/>
      <c r="G18" s="1"/>
      <c r="H18" s="1"/>
      <c r="M18" s="3">
        <v>6</v>
      </c>
      <c r="N18" s="3">
        <f t="shared" si="4"/>
        <v>41078.20855944194</v>
      </c>
      <c r="O18" s="6">
        <f t="shared" si="5"/>
        <v>254785.37144098652</v>
      </c>
      <c r="P18" s="6"/>
      <c r="S18" s="23"/>
      <c r="AG18" s="3">
        <v>6</v>
      </c>
      <c r="AI18" s="23">
        <f t="shared" si="6"/>
        <v>254785.37144098652</v>
      </c>
      <c r="AJ18" s="44">
        <f t="shared" si="7"/>
        <v>173048.24412966307</v>
      </c>
      <c r="AL18" s="6">
        <f t="shared" si="8"/>
        <v>254785.37144098652</v>
      </c>
      <c r="AN18" s="63">
        <f t="shared" si="12"/>
        <v>6</v>
      </c>
      <c r="AO18" s="63">
        <f t="shared" si="13"/>
        <v>0</v>
      </c>
      <c r="AP18" s="16" cm="1">
        <f t="array" ref="AP18">IF(AO18=0,IF(AN18&gt;0,INDEX($AL$13:$AL$610,AN18*12),0),INDEX($AL$13:$AL$610,AN18*12+AO18))</f>
        <v>4255806.9074986055</v>
      </c>
      <c r="AQ18" s="16">
        <f t="shared" si="9"/>
        <v>838550.05542050034</v>
      </c>
      <c r="AR18" s="16">
        <f t="shared" si="10"/>
        <v>197382.26851840009</v>
      </c>
      <c r="AS18" s="94">
        <f t="shared" si="11"/>
        <v>5291739.2314375062</v>
      </c>
    </row>
    <row r="19" spans="1:45" x14ac:dyDescent="0.25">
      <c r="A19" s="1"/>
      <c r="B19" s="1"/>
      <c r="C19" s="1"/>
      <c r="D19" s="1"/>
      <c r="E19" s="1"/>
      <c r="F19" s="1"/>
      <c r="G19" s="1"/>
      <c r="H19" s="1"/>
      <c r="M19" s="3">
        <v>7</v>
      </c>
      <c r="N19" s="3">
        <f t="shared" si="4"/>
        <v>41078.20855944194</v>
      </c>
      <c r="O19" s="6">
        <f t="shared" si="5"/>
        <v>298670.96824793727</v>
      </c>
      <c r="P19" s="6"/>
      <c r="S19" s="23"/>
      <c r="AG19" s="3">
        <v>7</v>
      </c>
      <c r="AI19" s="23">
        <f t="shared" si="6"/>
        <v>298670.96824793727</v>
      </c>
      <c r="AJ19" s="44">
        <f t="shared" si="7"/>
        <v>202855.00040877768</v>
      </c>
      <c r="AL19" s="6">
        <f t="shared" si="8"/>
        <v>298670.96824793727</v>
      </c>
      <c r="AN19" s="63">
        <f t="shared" si="12"/>
        <v>7</v>
      </c>
      <c r="AO19" s="63">
        <f t="shared" si="13"/>
        <v>0</v>
      </c>
      <c r="AP19" s="16" cm="1">
        <f t="array" ref="AP19">IF(AO19=0,IF(AN19&gt;0,INDEX($AL$13:$AL$610,AN19*12),0),INDEX($AL$13:$AL$610,AN19*12+AO19))</f>
        <v>5290928.600051458</v>
      </c>
      <c r="AQ19" s="16">
        <f t="shared" si="9"/>
        <v>914019.56040834531</v>
      </c>
      <c r="AR19" s="16">
        <f t="shared" si="10"/>
        <v>221068.1407406081</v>
      </c>
      <c r="AS19" s="94">
        <f t="shared" si="11"/>
        <v>6426016.3012004113</v>
      </c>
    </row>
    <row r="20" spans="1:45" x14ac:dyDescent="0.25">
      <c r="A20" s="1"/>
      <c r="B20" s="57" t="s">
        <v>41</v>
      </c>
      <c r="C20" s="58">
        <f>C9</f>
        <v>500000</v>
      </c>
      <c r="D20" s="59"/>
      <c r="E20" s="1"/>
      <c r="F20" s="1"/>
      <c r="G20" s="1"/>
      <c r="H20" s="1"/>
      <c r="M20" s="3">
        <v>8</v>
      </c>
      <c r="N20" s="3">
        <f t="shared" si="4"/>
        <v>41078.20855944194</v>
      </c>
      <c r="O20" s="6">
        <f t="shared" si="5"/>
        <v>342972.98639579909</v>
      </c>
      <c r="P20" s="6"/>
      <c r="S20" s="23"/>
      <c r="AG20" s="3">
        <v>8</v>
      </c>
      <c r="AI20" s="23">
        <f t="shared" si="6"/>
        <v>342972.98639579909</v>
      </c>
      <c r="AJ20" s="44">
        <f t="shared" si="7"/>
        <v>232944.58682627592</v>
      </c>
      <c r="AL20" s="6">
        <f t="shared" si="8"/>
        <v>342972.98639579909</v>
      </c>
      <c r="AN20" s="63">
        <f t="shared" si="12"/>
        <v>8</v>
      </c>
      <c r="AO20" s="63">
        <f t="shared" si="13"/>
        <v>0</v>
      </c>
      <c r="AP20" s="16" cm="1">
        <f t="array" ref="AP20">IF(AO20=0,IF(AN20&gt;0,INDEX($AL$13:$AL$610,AN20*12),0),INDEX($AL$13:$AL$610,AN20*12+AO20))</f>
        <v>6450264.8957106546</v>
      </c>
      <c r="AQ20" s="16">
        <f t="shared" si="9"/>
        <v>996281.32084509649</v>
      </c>
      <c r="AR20" s="16">
        <f t="shared" si="10"/>
        <v>247596.31762948108</v>
      </c>
      <c r="AS20" s="94">
        <f t="shared" si="11"/>
        <v>7694142.5341852317</v>
      </c>
    </row>
    <row r="21" spans="1:45" s="30" customFormat="1" x14ac:dyDescent="0.25">
      <c r="A21" s="1"/>
      <c r="B21" s="24" t="s">
        <v>40</v>
      </c>
      <c r="C21" s="25">
        <f>C13</f>
        <v>100000</v>
      </c>
      <c r="D21" s="26"/>
      <c r="E21" s="1"/>
      <c r="F21" s="1"/>
      <c r="G21" s="1"/>
      <c r="H21" s="1"/>
      <c r="L21" s="3"/>
      <c r="M21" s="3">
        <v>9</v>
      </c>
      <c r="N21" s="3">
        <f t="shared" si="4"/>
        <v>41078.20855944194</v>
      </c>
      <c r="O21" s="6">
        <f t="shared" si="5"/>
        <v>387695.3772204502</v>
      </c>
      <c r="P21" s="6"/>
      <c r="R21" s="3"/>
      <c r="S21" s="23"/>
      <c r="T21" s="3"/>
      <c r="U21" s="3"/>
      <c r="V21" s="3"/>
      <c r="W21" s="3"/>
      <c r="Y21" s="3"/>
      <c r="Z21" s="3"/>
      <c r="AA21" s="3"/>
      <c r="AC21" s="3"/>
      <c r="AG21" s="3">
        <v>9</v>
      </c>
      <c r="AI21" s="23">
        <f t="shared" si="6"/>
        <v>387695.3772204502</v>
      </c>
      <c r="AJ21" s="44">
        <f t="shared" si="7"/>
        <v>263319.68709877715</v>
      </c>
      <c r="AL21" s="6">
        <f t="shared" si="8"/>
        <v>387695.3772204502</v>
      </c>
      <c r="AN21" s="63">
        <f t="shared" si="12"/>
        <v>9</v>
      </c>
      <c r="AO21" s="63">
        <f t="shared" si="13"/>
        <v>0</v>
      </c>
      <c r="AP21" s="16" cm="1">
        <f t="array" ref="AP21">IF(AO21=0,IF(AN21&gt;0,INDEX($AL$13:$AL$610,AN21*12),0),INDEX($AL$13:$AL$610,AN21*12+AO21))</f>
        <v>7748721.5468489537</v>
      </c>
      <c r="AQ21" s="16">
        <f t="shared" si="9"/>
        <v>1085946.6397211552</v>
      </c>
      <c r="AR21" s="16">
        <f t="shared" si="10"/>
        <v>277307.87574501883</v>
      </c>
      <c r="AS21" s="94">
        <f t="shared" si="11"/>
        <v>9111976.0623151269</v>
      </c>
    </row>
    <row r="22" spans="1:45" x14ac:dyDescent="0.25">
      <c r="A22" s="1"/>
      <c r="B22" s="27" t="s">
        <v>42</v>
      </c>
      <c r="C22" s="28">
        <f>O11</f>
        <v>4929385.0271330327</v>
      </c>
      <c r="D22" s="29"/>
      <c r="E22" s="1"/>
      <c r="F22" s="1"/>
      <c r="G22" s="1"/>
      <c r="H22" s="1"/>
      <c r="M22" s="3">
        <v>10</v>
      </c>
      <c r="N22" s="3">
        <f t="shared" si="4"/>
        <v>41078.20855944194</v>
      </c>
      <c r="O22" s="6">
        <f t="shared" si="5"/>
        <v>432842.12955117715</v>
      </c>
      <c r="P22" s="6"/>
      <c r="S22" s="23"/>
      <c r="AG22" s="3">
        <v>10</v>
      </c>
      <c r="AI22" s="23">
        <f t="shared" si="6"/>
        <v>432842.12955117715</v>
      </c>
      <c r="AJ22" s="44">
        <f t="shared" si="7"/>
        <v>293983.01040813216</v>
      </c>
      <c r="AL22" s="6">
        <f t="shared" si="8"/>
        <v>432842.12955117715</v>
      </c>
      <c r="AN22" s="63">
        <f t="shared" si="12"/>
        <v>10</v>
      </c>
      <c r="AO22" s="63">
        <f t="shared" si="13"/>
        <v>0</v>
      </c>
      <c r="AP22" s="16" cm="1">
        <f t="array" ref="AP22">IF(AO22=0,IF(AN22&gt;0,INDEX($AL$13:$AL$610,AN22*12),0),INDEX($AL$13:$AL$610,AN22*12+AO22))</f>
        <v>9202992.9961238522</v>
      </c>
      <c r="AQ22" s="16">
        <f t="shared" si="9"/>
        <v>1183681.8372960594</v>
      </c>
      <c r="AR22" s="16">
        <f t="shared" si="10"/>
        <v>310584.82083442109</v>
      </c>
      <c r="AS22" s="94">
        <f t="shared" si="11"/>
        <v>10697259.654254332</v>
      </c>
    </row>
    <row r="23" spans="1:45" x14ac:dyDescent="0.25">
      <c r="A23" s="1"/>
      <c r="B23" s="33" t="s">
        <v>3</v>
      </c>
      <c r="C23" s="34">
        <f>ROUND(SUM(C20:C22),0)</f>
        <v>5529385</v>
      </c>
      <c r="D23" s="35"/>
      <c r="E23" s="43" t="str">
        <f>IF(C26+TotalLumpsum&gt;GoalAmt,"Excess Invested! Goal completed in " &amp; T7 &amp; "y " &amp; IF(T7&gt;0, T7 &amp; "m",""),"")</f>
        <v/>
      </c>
      <c r="F23" s="43"/>
      <c r="G23" s="43"/>
      <c r="H23" s="43"/>
      <c r="M23" s="3">
        <v>11</v>
      </c>
      <c r="N23" s="3">
        <f t="shared" si="4"/>
        <v>41078.20855944194</v>
      </c>
      <c r="O23" s="6">
        <f t="shared" si="5"/>
        <v>478417.27006643848</v>
      </c>
      <c r="P23" s="6"/>
      <c r="S23" s="23"/>
      <c r="AG23" s="3">
        <v>11</v>
      </c>
      <c r="AI23" s="23">
        <f t="shared" si="6"/>
        <v>478417.27006643848</v>
      </c>
      <c r="AJ23" s="44">
        <f t="shared" si="7"/>
        <v>324937.29164305521</v>
      </c>
      <c r="AL23" s="6">
        <f t="shared" si="8"/>
        <v>478417.27006643848</v>
      </c>
      <c r="AN23" s="63">
        <f t="shared" si="12"/>
        <v>0</v>
      </c>
      <c r="AO23" s="63">
        <f t="shared" si="13"/>
        <v>0</v>
      </c>
      <c r="AP23" s="16" cm="1">
        <f t="array" ref="AP23">IF(AO23=0,IF(AN23&gt;0,INDEX($AL$13:$AL$610,AN23*12),0),INDEX($AL$13:$AL$610,AN23*12+AO23))</f>
        <v>0</v>
      </c>
      <c r="AQ23" s="16">
        <f t="shared" si="9"/>
        <v>0</v>
      </c>
      <c r="AR23" s="16">
        <f t="shared" si="10"/>
        <v>0</v>
      </c>
      <c r="AS23" s="94">
        <f t="shared" si="11"/>
        <v>0</v>
      </c>
    </row>
    <row r="24" spans="1:45" x14ac:dyDescent="0.25">
      <c r="A24" s="1"/>
      <c r="B24" s="1"/>
      <c r="C24" s="1"/>
      <c r="D24" s="1"/>
      <c r="E24" s="1"/>
      <c r="F24" s="1"/>
      <c r="G24" s="1"/>
      <c r="H24" s="1"/>
      <c r="M24" s="3">
        <v>12</v>
      </c>
      <c r="N24" s="3">
        <f t="shared" si="4"/>
        <v>41078.20855944194</v>
      </c>
      <c r="O24" s="6">
        <f t="shared" si="5"/>
        <v>524424.86365301348</v>
      </c>
      <c r="P24" s="6"/>
      <c r="S24" s="23"/>
      <c r="AG24" s="3">
        <v>12</v>
      </c>
      <c r="AI24" s="23">
        <f t="shared" si="6"/>
        <v>524424.86365301348</v>
      </c>
      <c r="AJ24" s="44">
        <f t="shared" si="7"/>
        <v>356185.29164305527</v>
      </c>
      <c r="AL24" s="6">
        <f t="shared" si="8"/>
        <v>524424.86365301348</v>
      </c>
      <c r="AN24" s="63">
        <f t="shared" si="12"/>
        <v>0</v>
      </c>
      <c r="AO24" s="63">
        <f t="shared" si="13"/>
        <v>0</v>
      </c>
      <c r="AP24" s="16" cm="1">
        <f t="array" ref="AP24">IF(AO24=0,IF(AN24&gt;0,INDEX($AL$13:$AL$610,AN24*12),0),INDEX($AL$13:$AL$610,AN24*12+AO24))</f>
        <v>0</v>
      </c>
      <c r="AQ24" s="16">
        <f t="shared" si="9"/>
        <v>0</v>
      </c>
      <c r="AR24" s="16">
        <f t="shared" si="10"/>
        <v>0</v>
      </c>
      <c r="AS24" s="94">
        <f t="shared" si="11"/>
        <v>0</v>
      </c>
    </row>
    <row r="25" spans="1:45" x14ac:dyDescent="0.25">
      <c r="A25" s="1"/>
      <c r="B25" s="90" t="s">
        <v>61</v>
      </c>
      <c r="C25" s="89">
        <f>ROUND(IF(T6=1,O1-C9,J1-C9),0)</f>
        <v>683682</v>
      </c>
      <c r="D25" s="97">
        <f>IF(C25&gt;0,IF(C11&gt;0,IF(T6=1,P1,K1),0),0)</f>
        <v>136736</v>
      </c>
      <c r="E25" s="1"/>
      <c r="F25" s="1"/>
      <c r="G25" s="1"/>
      <c r="H25" s="1"/>
      <c r="M25" s="3">
        <v>13</v>
      </c>
      <c r="N25" s="3">
        <f t="shared" si="4"/>
        <v>41078.20855944194</v>
      </c>
      <c r="O25" s="6">
        <f t="shared" si="5"/>
        <v>570869.01376854989</v>
      </c>
      <c r="P25" s="6"/>
      <c r="S25" s="23"/>
      <c r="AG25" s="3">
        <v>13</v>
      </c>
      <c r="AI25" s="23">
        <f t="shared" si="6"/>
        <v>570869.01376854989</v>
      </c>
      <c r="AJ25" s="44">
        <f t="shared" si="7"/>
        <v>387729.79744467506</v>
      </c>
      <c r="AL25" s="6">
        <f t="shared" si="8"/>
        <v>570869.01376854989</v>
      </c>
      <c r="AN25" s="63">
        <f t="shared" si="12"/>
        <v>0</v>
      </c>
      <c r="AO25" s="63">
        <f t="shared" si="13"/>
        <v>0</v>
      </c>
      <c r="AP25" s="16" cm="1">
        <f t="array" ref="AP25">IF(AO25=0,IF(AN25&gt;0,INDEX($AL$13:$AL$610,AN25*12),0),INDEX($AL$13:$AL$610,AN25*12+AO25))</f>
        <v>0</v>
      </c>
      <c r="AQ25" s="16">
        <f t="shared" si="9"/>
        <v>0</v>
      </c>
      <c r="AR25" s="16">
        <f t="shared" si="10"/>
        <v>0</v>
      </c>
      <c r="AS25" s="94">
        <f t="shared" si="11"/>
        <v>0</v>
      </c>
    </row>
    <row r="26" spans="1:45" x14ac:dyDescent="0.25">
      <c r="A26" s="1"/>
      <c r="B26" s="7" t="s">
        <v>62</v>
      </c>
      <c r="C26" s="41">
        <f>ROUND(IF(T6=1,O2-C13,J2-C13),0)</f>
        <v>210585</v>
      </c>
      <c r="D26" s="98">
        <f>IF(C26&gt;0,IF(C7&gt;0,IF(T6=1,P2,K2),0),0)</f>
        <v>26323</v>
      </c>
      <c r="E26" s="1"/>
      <c r="F26" s="1"/>
      <c r="G26" s="1"/>
      <c r="H26" s="1"/>
      <c r="M26" s="3">
        <v>14</v>
      </c>
      <c r="N26" s="3">
        <f t="shared" si="4"/>
        <v>41078.20855944194</v>
      </c>
      <c r="O26" s="6">
        <f t="shared" si="5"/>
        <v>617753.86280755606</v>
      </c>
      <c r="P26" s="6"/>
      <c r="S26" s="23"/>
      <c r="AG26" s="3">
        <v>14</v>
      </c>
      <c r="AI26" s="23">
        <f t="shared" si="6"/>
        <v>617753.86280755606</v>
      </c>
      <c r="AJ26" s="44">
        <f t="shared" si="7"/>
        <v>419573.62253007077</v>
      </c>
      <c r="AL26" s="6">
        <f t="shared" si="8"/>
        <v>617753.86280755606</v>
      </c>
      <c r="AN26" s="63">
        <f t="shared" si="12"/>
        <v>0</v>
      </c>
      <c r="AO26" s="63">
        <f t="shared" si="13"/>
        <v>0</v>
      </c>
      <c r="AP26" s="16" cm="1">
        <f t="array" ref="AP26">IF(AO26=0,IF(AN26&gt;0,INDEX($AL$13:$AL$610,AN26*12),0),INDEX($AL$13:$AL$610,AN26*12+AO26))</f>
        <v>0</v>
      </c>
      <c r="AQ26" s="16">
        <f t="shared" si="9"/>
        <v>0</v>
      </c>
      <c r="AR26" s="16">
        <f t="shared" si="10"/>
        <v>0</v>
      </c>
      <c r="AS26" s="94">
        <f t="shared" si="11"/>
        <v>0</v>
      </c>
    </row>
    <row r="27" spans="1:45" x14ac:dyDescent="0.25">
      <c r="A27" s="1"/>
      <c r="B27" s="40" t="s">
        <v>63</v>
      </c>
      <c r="C27" s="42">
        <f>ROUND(O12-O11,0)</f>
        <v>4273608</v>
      </c>
      <c r="D27" s="99">
        <f>IF(C27&gt;0,IF(C7&gt;0,P11,0),0)</f>
        <v>534201</v>
      </c>
      <c r="E27" s="96"/>
      <c r="F27" s="96"/>
      <c r="G27" s="96"/>
      <c r="H27" s="96"/>
      <c r="M27" s="3">
        <v>15</v>
      </c>
      <c r="N27" s="3">
        <f t="shared" si="4"/>
        <v>41078.20855944194</v>
      </c>
      <c r="O27" s="6">
        <f t="shared" si="5"/>
        <v>665083.59247086244</v>
      </c>
      <c r="P27" s="6"/>
      <c r="S27" s="23"/>
      <c r="AG27" s="3">
        <v>15</v>
      </c>
      <c r="AI27" s="23">
        <f t="shared" si="6"/>
        <v>665083.59247086244</v>
      </c>
      <c r="AJ27" s="44">
        <f t="shared" si="7"/>
        <v>451719.60707794671</v>
      </c>
      <c r="AL27" s="6">
        <f t="shared" si="8"/>
        <v>665083.59247086244</v>
      </c>
      <c r="AN27" s="63">
        <f t="shared" si="12"/>
        <v>0</v>
      </c>
      <c r="AO27" s="63">
        <f t="shared" si="13"/>
        <v>0</v>
      </c>
      <c r="AP27" s="16" cm="1">
        <f t="array" ref="AP27">IF(AO27=0,IF(AN27&gt;0,INDEX($AL$13:$AL$610,AN27*12),0),INDEX($AL$13:$AL$610,AN27*12+AO27))</f>
        <v>0</v>
      </c>
      <c r="AQ27" s="16">
        <f t="shared" si="9"/>
        <v>0</v>
      </c>
      <c r="AR27" s="16">
        <f t="shared" si="10"/>
        <v>0</v>
      </c>
      <c r="AS27" s="94">
        <f t="shared" si="11"/>
        <v>0</v>
      </c>
    </row>
    <row r="28" spans="1:45" x14ac:dyDescent="0.25">
      <c r="A28" s="1"/>
      <c r="B28" s="1"/>
      <c r="C28" s="1"/>
      <c r="D28" s="1"/>
      <c r="E28" s="1"/>
      <c r="F28" s="1"/>
      <c r="G28" s="1"/>
      <c r="H28" s="1"/>
      <c r="M28" s="3">
        <v>16</v>
      </c>
      <c r="N28" s="3">
        <f t="shared" si="4"/>
        <v>41078.20855944194</v>
      </c>
      <c r="O28" s="6">
        <f t="shared" si="5"/>
        <v>712862.42413859267</v>
      </c>
      <c r="P28" s="6"/>
      <c r="S28" s="23"/>
      <c r="AG28" s="3">
        <v>16</v>
      </c>
      <c r="AI28" s="23">
        <f t="shared" si="6"/>
        <v>712862.42413859267</v>
      </c>
      <c r="AJ28" s="44">
        <f t="shared" si="7"/>
        <v>484170.61821687507</v>
      </c>
      <c r="AL28" s="6">
        <f t="shared" si="8"/>
        <v>712862.42413859267</v>
      </c>
      <c r="AN28" s="63">
        <f t="shared" si="12"/>
        <v>0</v>
      </c>
      <c r="AO28" s="63">
        <f t="shared" si="13"/>
        <v>0</v>
      </c>
      <c r="AP28" s="16" cm="1">
        <f t="array" ref="AP28">IF(AO28=0,IF(AN28&gt;0,INDEX($AL$13:$AL$610,AN28*12),0),INDEX($AL$13:$AL$610,AN28*12+AO28))</f>
        <v>0</v>
      </c>
      <c r="AQ28" s="16">
        <f t="shared" si="9"/>
        <v>0</v>
      </c>
      <c r="AR28" s="16">
        <f t="shared" si="10"/>
        <v>0</v>
      </c>
      <c r="AS28" s="94">
        <f t="shared" si="11"/>
        <v>0</v>
      </c>
    </row>
    <row r="29" spans="1:45" x14ac:dyDescent="0.25">
      <c r="A29" s="1"/>
      <c r="B29" s="91" t="s">
        <v>57</v>
      </c>
      <c r="C29" s="92">
        <f>P11+IF(T6=1,P2+P1,K2+K1)</f>
        <v>697260</v>
      </c>
      <c r="D29" s="91"/>
      <c r="E29" s="96"/>
      <c r="F29" s="96"/>
      <c r="G29" s="96"/>
      <c r="H29" s="96"/>
      <c r="M29" s="3">
        <v>17</v>
      </c>
      <c r="N29" s="3">
        <f t="shared" si="4"/>
        <v>41078.20855944194</v>
      </c>
      <c r="O29" s="6">
        <f t="shared" si="5"/>
        <v>761094.6192466747</v>
      </c>
      <c r="P29" s="6"/>
      <c r="S29" s="23"/>
      <c r="AG29" s="3">
        <v>17</v>
      </c>
      <c r="AI29" s="23">
        <f t="shared" si="6"/>
        <v>761094.6192466747</v>
      </c>
      <c r="AJ29" s="44">
        <f t="shared" si="7"/>
        <v>516929.55028101889</v>
      </c>
      <c r="AL29" s="6">
        <f t="shared" si="8"/>
        <v>761094.6192466747</v>
      </c>
      <c r="AN29" s="63">
        <f t="shared" si="12"/>
        <v>0</v>
      </c>
      <c r="AO29" s="63">
        <f t="shared" si="13"/>
        <v>0</v>
      </c>
      <c r="AP29" s="16" cm="1">
        <f t="array" ref="AP29">IF(AO29=0,IF(AN29&gt;0,INDEX($AL$13:$AL$610,AN29*12),0),INDEX($AL$13:$AL$610,AN29*12+AO29))</f>
        <v>0</v>
      </c>
      <c r="AQ29" s="16">
        <f t="shared" si="9"/>
        <v>0</v>
      </c>
      <c r="AR29" s="16">
        <f t="shared" si="10"/>
        <v>0</v>
      </c>
      <c r="AS29" s="94">
        <f t="shared" si="11"/>
        <v>0</v>
      </c>
    </row>
    <row r="30" spans="1:45" x14ac:dyDescent="0.25">
      <c r="A30" s="1"/>
      <c r="B30" s="1"/>
      <c r="C30" s="1"/>
      <c r="D30" s="1"/>
      <c r="E30" s="1"/>
      <c r="F30" s="1"/>
      <c r="G30" s="1"/>
      <c r="H30" s="1"/>
      <c r="M30" s="3">
        <v>18</v>
      </c>
      <c r="N30" s="3">
        <f t="shared" si="4"/>
        <v>41078.20855944194</v>
      </c>
      <c r="O30" s="6">
        <f t="shared" si="5"/>
        <v>809784.47966691793</v>
      </c>
      <c r="P30" s="6"/>
      <c r="S30" s="23"/>
      <c r="AG30" s="3">
        <v>18</v>
      </c>
      <c r="AI30" s="23">
        <f t="shared" si="6"/>
        <v>809784.47966691793</v>
      </c>
      <c r="AJ30" s="44">
        <f t="shared" si="7"/>
        <v>549999.32506827754</v>
      </c>
      <c r="AL30" s="6">
        <f t="shared" si="8"/>
        <v>809784.47966691793</v>
      </c>
      <c r="AN30" s="63">
        <f t="shared" si="12"/>
        <v>0</v>
      </c>
      <c r="AO30" s="63">
        <f t="shared" si="13"/>
        <v>0</v>
      </c>
      <c r="AP30" s="16" cm="1">
        <f t="array" ref="AP30">IF(AO30=0,IF(AN30&gt;0,INDEX($AL$13:$AL$610,AN30*12),0),INDEX($AL$13:$AL$610,AN30*12+AO30))</f>
        <v>0</v>
      </c>
      <c r="AQ30" s="16">
        <f t="shared" si="9"/>
        <v>0</v>
      </c>
      <c r="AR30" s="16">
        <f t="shared" si="10"/>
        <v>0</v>
      </c>
      <c r="AS30" s="94">
        <f t="shared" si="11"/>
        <v>0</v>
      </c>
    </row>
    <row r="31" spans="1:45" x14ac:dyDescent="0.25">
      <c r="A31" s="1"/>
      <c r="B31" s="31" t="s">
        <v>4</v>
      </c>
      <c r="C31" s="1"/>
      <c r="D31" s="1"/>
      <c r="E31" s="88" t="s">
        <v>67</v>
      </c>
      <c r="F31" s="88"/>
      <c r="G31" s="88"/>
      <c r="H31" s="88"/>
      <c r="M31" s="3">
        <v>19</v>
      </c>
      <c r="N31" s="3">
        <f t="shared" si="4"/>
        <v>41078.20855944194</v>
      </c>
      <c r="O31" s="6">
        <f t="shared" si="5"/>
        <v>858936.3480907029</v>
      </c>
      <c r="P31" s="6"/>
      <c r="S31" s="23"/>
      <c r="AG31" s="3">
        <v>19</v>
      </c>
      <c r="AI31" s="23">
        <f t="shared" si="6"/>
        <v>858936.3480907029</v>
      </c>
      <c r="AJ31" s="44">
        <f t="shared" si="7"/>
        <v>583382.89210088609</v>
      </c>
      <c r="AL31" s="6">
        <f t="shared" si="8"/>
        <v>858936.3480907029</v>
      </c>
      <c r="AN31" s="63">
        <f t="shared" si="12"/>
        <v>0</v>
      </c>
      <c r="AO31" s="63">
        <f t="shared" si="13"/>
        <v>0</v>
      </c>
      <c r="AP31" s="16" cm="1">
        <f t="array" ref="AP31">IF(AO31=0,IF(AN31&gt;0,INDEX($AL$13:$AL$610,AN31*12),0),INDEX($AL$13:$AL$610,AN31*12+AO31))</f>
        <v>0</v>
      </c>
      <c r="AQ31" s="16">
        <f t="shared" si="9"/>
        <v>0</v>
      </c>
      <c r="AR31" s="16">
        <f t="shared" si="10"/>
        <v>0</v>
      </c>
      <c r="AS31" s="94">
        <f t="shared" si="11"/>
        <v>0</v>
      </c>
    </row>
    <row r="32" spans="1:45" x14ac:dyDescent="0.25">
      <c r="A32" s="1"/>
      <c r="B32" s="1"/>
      <c r="C32" s="1"/>
      <c r="D32" s="1"/>
      <c r="E32" s="1"/>
      <c r="F32" s="1"/>
      <c r="G32" s="1"/>
      <c r="H32" s="1"/>
      <c r="M32" s="3">
        <v>20</v>
      </c>
      <c r="N32" s="3">
        <f t="shared" si="4"/>
        <v>41078.20855944194</v>
      </c>
      <c r="O32" s="6">
        <f t="shared" si="5"/>
        <v>908554.60841630888</v>
      </c>
      <c r="P32" s="6"/>
      <c r="S32" s="23"/>
      <c r="AG32" s="3">
        <v>20</v>
      </c>
      <c r="AI32" s="23">
        <f t="shared" si="6"/>
        <v>908554.60841630888</v>
      </c>
      <c r="AJ32" s="44">
        <f t="shared" si="7"/>
        <v>617083.22888848453</v>
      </c>
      <c r="AL32" s="6">
        <f t="shared" si="8"/>
        <v>908554.60841630888</v>
      </c>
      <c r="AN32" s="63">
        <f t="shared" si="12"/>
        <v>0</v>
      </c>
      <c r="AO32" s="63">
        <f t="shared" si="13"/>
        <v>0</v>
      </c>
      <c r="AP32" s="16" cm="1">
        <f t="array" ref="AP32">IF(AO32=0,IF(AN32&gt;0,INDEX($AL$13:$AL$610,AN32*12),0),INDEX($AL$13:$AL$610,AN32*12+AO32))</f>
        <v>0</v>
      </c>
      <c r="AQ32" s="16">
        <f t="shared" si="9"/>
        <v>0</v>
      </c>
      <c r="AR32" s="16">
        <f t="shared" si="10"/>
        <v>0</v>
      </c>
      <c r="AS32" s="94">
        <f t="shared" si="11"/>
        <v>0</v>
      </c>
    </row>
    <row r="33" spans="1:45" hidden="1" x14ac:dyDescent="0.25">
      <c r="A33" s="1"/>
      <c r="B33" s="1"/>
      <c r="C33" s="1"/>
      <c r="D33" s="1"/>
      <c r="E33" s="1"/>
      <c r="F33" s="1"/>
      <c r="G33" s="1"/>
      <c r="H33" s="1"/>
      <c r="M33" s="3">
        <v>21</v>
      </c>
      <c r="N33" s="3">
        <f t="shared" si="4"/>
        <v>41078.20855944194</v>
      </c>
      <c r="O33" s="6">
        <f t="shared" si="5"/>
        <v>958643.68613991886</v>
      </c>
      <c r="P33" s="6"/>
      <c r="S33" s="23"/>
      <c r="AG33" s="3">
        <v>21</v>
      </c>
      <c r="AI33" s="23">
        <f t="shared" si="6"/>
        <v>958643.68613991886</v>
      </c>
      <c r="AJ33" s="44">
        <f t="shared" si="7"/>
        <v>651103.34119368636</v>
      </c>
      <c r="AL33" s="6">
        <f t="shared" si="8"/>
        <v>958643.68613991886</v>
      </c>
      <c r="AN33" s="63">
        <f t="shared" si="12"/>
        <v>0</v>
      </c>
      <c r="AO33" s="63">
        <f t="shared" si="13"/>
        <v>0</v>
      </c>
      <c r="AP33" s="16" cm="1">
        <f t="array" ref="AP33">IF(AO33=0,IF(AN33&gt;0,INDEX($AL$13:$AL$610,AN33*12),0),INDEX($AL$13:$AL$610,AN33*12+AO33))</f>
        <v>0</v>
      </c>
      <c r="AQ33" s="16">
        <f t="shared" si="9"/>
        <v>0</v>
      </c>
      <c r="AR33" s="16">
        <f t="shared" si="10"/>
        <v>0</v>
      </c>
      <c r="AS33" s="94">
        <f t="shared" si="11"/>
        <v>0</v>
      </c>
    </row>
    <row r="34" spans="1:45" hidden="1" x14ac:dyDescent="0.25">
      <c r="M34" s="3">
        <v>22</v>
      </c>
      <c r="N34" s="3">
        <f t="shared" si="4"/>
        <v>41078.20855944194</v>
      </c>
      <c r="O34" s="6">
        <f t="shared" si="5"/>
        <v>1009208.0487503322</v>
      </c>
      <c r="P34" s="6"/>
      <c r="S34" s="23"/>
      <c r="AG34" s="3">
        <v>22</v>
      </c>
      <c r="AI34" s="23">
        <f t="shared" si="6"/>
        <v>1009208.0487503322</v>
      </c>
      <c r="AJ34" s="44">
        <f t="shared" si="7"/>
        <v>685446.26330016344</v>
      </c>
      <c r="AL34" s="6">
        <f t="shared" si="8"/>
        <v>1009208.0487503322</v>
      </c>
      <c r="AN34" s="63">
        <f t="shared" si="12"/>
        <v>0</v>
      </c>
      <c r="AO34" s="63">
        <f t="shared" si="13"/>
        <v>0</v>
      </c>
      <c r="AP34" s="16" cm="1">
        <f t="array" ref="AP34">IF(AO34=0,IF(AN34&gt;0,INDEX($AL$13:$AL$610,AN34*12),0),INDEX($AL$13:$AL$610,AN34*12+AO34))</f>
        <v>0</v>
      </c>
      <c r="AQ34" s="16">
        <f t="shared" si="9"/>
        <v>0</v>
      </c>
      <c r="AR34" s="16">
        <f t="shared" si="10"/>
        <v>0</v>
      </c>
      <c r="AS34" s="94">
        <f t="shared" si="11"/>
        <v>0</v>
      </c>
    </row>
    <row r="35" spans="1:45" hidden="1" x14ac:dyDescent="0.25">
      <c r="M35" s="3">
        <v>23</v>
      </c>
      <c r="N35" s="3">
        <f t="shared" si="4"/>
        <v>41078.20855944194</v>
      </c>
      <c r="O35" s="6">
        <f t="shared" si="5"/>
        <v>1060252.2061274252</v>
      </c>
      <c r="P35" s="6"/>
      <c r="S35" s="23"/>
      <c r="AG35" s="3">
        <v>23</v>
      </c>
      <c r="AI35" s="23">
        <f t="shared" si="6"/>
        <v>1060252.2061274252</v>
      </c>
      <c r="AJ35" s="44">
        <f t="shared" si="7"/>
        <v>720115.05828327755</v>
      </c>
      <c r="AL35" s="6">
        <f t="shared" si="8"/>
        <v>1060252.2061274252</v>
      </c>
      <c r="AN35" s="63">
        <f t="shared" si="12"/>
        <v>0</v>
      </c>
      <c r="AO35" s="63">
        <f t="shared" si="13"/>
        <v>0</v>
      </c>
      <c r="AP35" s="16" cm="1">
        <f t="array" ref="AP35">IF(AO35=0,IF(AN35&gt;0,INDEX($AL$13:$AL$610,AN35*12),0),INDEX($AL$13:$AL$610,AN35*12+AO35))</f>
        <v>0</v>
      </c>
      <c r="AQ35" s="16">
        <f t="shared" si="9"/>
        <v>0</v>
      </c>
      <c r="AR35" s="16">
        <f t="shared" si="10"/>
        <v>0</v>
      </c>
      <c r="AS35" s="94">
        <f t="shared" si="11"/>
        <v>0</v>
      </c>
    </row>
    <row r="36" spans="1:45" hidden="1" x14ac:dyDescent="0.25">
      <c r="M36" s="3">
        <v>24</v>
      </c>
      <c r="N36" s="3">
        <f t="shared" si="4"/>
        <v>41078.20855944194</v>
      </c>
      <c r="O36" s="6">
        <f t="shared" si="5"/>
        <v>1111780.7109443888</v>
      </c>
      <c r="P36" s="6"/>
      <c r="S36" s="23"/>
      <c r="AG36" s="3">
        <v>24</v>
      </c>
      <c r="AI36" s="23">
        <f t="shared" si="6"/>
        <v>1111780.7109443888</v>
      </c>
      <c r="AJ36" s="44">
        <f t="shared" si="7"/>
        <v>755112.81828327733</v>
      </c>
      <c r="AL36" s="6">
        <f t="shared" si="8"/>
        <v>1111780.7109443888</v>
      </c>
      <c r="AN36" s="63">
        <f t="shared" si="12"/>
        <v>0</v>
      </c>
      <c r="AO36" s="63">
        <f t="shared" si="13"/>
        <v>0</v>
      </c>
      <c r="AP36" s="16" cm="1">
        <f t="array" ref="AP36">IF(AO36=0,IF(AN36&gt;0,INDEX($AL$13:$AL$610,AN36*12),0),INDEX($AL$13:$AL$610,AN36*12+AO36))</f>
        <v>0</v>
      </c>
      <c r="AQ36" s="16">
        <f t="shared" si="9"/>
        <v>0</v>
      </c>
      <c r="AR36" s="16">
        <f t="shared" si="10"/>
        <v>0</v>
      </c>
      <c r="AS36" s="94">
        <f t="shared" si="11"/>
        <v>0</v>
      </c>
    </row>
    <row r="37" spans="1:45" hidden="1" x14ac:dyDescent="0.25">
      <c r="M37" s="3">
        <v>25</v>
      </c>
      <c r="N37" s="3">
        <f t="shared" si="4"/>
        <v>41078.20855944194</v>
      </c>
      <c r="O37" s="6">
        <f t="shared" si="5"/>
        <v>1163798.1590737891</v>
      </c>
      <c r="P37" s="6"/>
      <c r="S37" s="23"/>
      <c r="AG37" s="3">
        <v>25</v>
      </c>
      <c r="AI37" s="23">
        <f t="shared" si="6"/>
        <v>1163798.1590737891</v>
      </c>
      <c r="AJ37" s="44">
        <f t="shared" si="7"/>
        <v>790442.66478109127</v>
      </c>
      <c r="AL37" s="6">
        <f t="shared" si="8"/>
        <v>1163798.1590737891</v>
      </c>
      <c r="AN37" s="63">
        <f t="shared" si="12"/>
        <v>0</v>
      </c>
      <c r="AO37" s="63">
        <f t="shared" si="13"/>
        <v>0</v>
      </c>
      <c r="AP37" s="16" cm="1">
        <f t="array" ref="AP37">IF(AO37=0,IF(AN37&gt;0,INDEX($AL$13:$AL$610,AN37*12),0),INDEX($AL$13:$AL$610,AN37*12+AO37))</f>
        <v>0</v>
      </c>
      <c r="AQ37" s="16">
        <f t="shared" si="9"/>
        <v>0</v>
      </c>
      <c r="AR37" s="16">
        <f t="shared" si="10"/>
        <v>0</v>
      </c>
      <c r="AS37" s="94">
        <f t="shared" si="11"/>
        <v>0</v>
      </c>
    </row>
    <row r="38" spans="1:45" hidden="1" x14ac:dyDescent="0.25">
      <c r="M38" s="3">
        <v>26</v>
      </c>
      <c r="N38" s="3">
        <f t="shared" si="4"/>
        <v>41078.20855944194</v>
      </c>
      <c r="O38" s="6">
        <f t="shared" si="5"/>
        <v>1216309.1899974768</v>
      </c>
      <c r="P38" s="6"/>
      <c r="S38" s="23"/>
      <c r="AG38" s="3">
        <v>26</v>
      </c>
      <c r="AI38" s="23">
        <f t="shared" si="6"/>
        <v>1216309.1899974768</v>
      </c>
      <c r="AJ38" s="44">
        <f t="shared" si="7"/>
        <v>826107.74887673475</v>
      </c>
      <c r="AL38" s="6">
        <f t="shared" si="8"/>
        <v>1216309.1899974768</v>
      </c>
      <c r="AN38" s="63">
        <f t="shared" si="12"/>
        <v>0</v>
      </c>
      <c r="AO38" s="63">
        <f t="shared" si="13"/>
        <v>0</v>
      </c>
      <c r="AP38" s="16" cm="1">
        <f t="array" ref="AP38">IF(AO38=0,IF(AN38&gt;0,INDEX($AL$13:$AL$610,AN38*12),0),INDEX($AL$13:$AL$610,AN38*12+AO38))</f>
        <v>0</v>
      </c>
      <c r="AQ38" s="16">
        <f t="shared" si="9"/>
        <v>0</v>
      </c>
      <c r="AR38" s="16">
        <f t="shared" si="10"/>
        <v>0</v>
      </c>
      <c r="AS38" s="94">
        <f t="shared" si="11"/>
        <v>0</v>
      </c>
    </row>
    <row r="39" spans="1:45" hidden="1" x14ac:dyDescent="0.25">
      <c r="M39" s="3">
        <v>27</v>
      </c>
      <c r="N39" s="3">
        <f t="shared" si="4"/>
        <v>41078.20855944194</v>
      </c>
      <c r="O39" s="6">
        <f t="shared" si="5"/>
        <v>1269318.4872203802</v>
      </c>
      <c r="P39" s="6"/>
      <c r="S39" s="23"/>
      <c r="AG39" s="3">
        <v>27</v>
      </c>
      <c r="AI39" s="23">
        <f t="shared" si="6"/>
        <v>1269318.4872203802</v>
      </c>
      <c r="AJ39" s="44">
        <f t="shared" si="7"/>
        <v>862111.25157035619</v>
      </c>
      <c r="AL39" s="6">
        <f t="shared" si="8"/>
        <v>1269318.4872203802</v>
      </c>
      <c r="AN39" s="63">
        <f t="shared" si="12"/>
        <v>0</v>
      </c>
      <c r="AO39" s="63">
        <f t="shared" si="13"/>
        <v>0</v>
      </c>
      <c r="AP39" s="16" cm="1">
        <f t="array" ref="AP39">IF(AO39=0,IF(AN39&gt;0,INDEX($AL$13:$AL$610,AN39*12),0),INDEX($AL$13:$AL$610,AN39*12+AO39))</f>
        <v>0</v>
      </c>
      <c r="AQ39" s="16">
        <f t="shared" si="9"/>
        <v>0</v>
      </c>
      <c r="AR39" s="16">
        <f t="shared" si="10"/>
        <v>0</v>
      </c>
      <c r="AS39" s="94">
        <f t="shared" si="11"/>
        <v>0</v>
      </c>
    </row>
    <row r="40" spans="1:45" hidden="1" x14ac:dyDescent="0.25">
      <c r="M40" s="3">
        <v>28</v>
      </c>
      <c r="N40" s="3">
        <f t="shared" si="4"/>
        <v>41078.20855944194</v>
      </c>
      <c r="O40" s="6">
        <f t="shared" si="5"/>
        <v>1322830.7786882387</v>
      </c>
      <c r="P40" s="6"/>
      <c r="S40" s="23"/>
      <c r="AG40" s="3">
        <v>28</v>
      </c>
      <c r="AI40" s="23">
        <f t="shared" si="6"/>
        <v>1322830.7786882387</v>
      </c>
      <c r="AJ40" s="44">
        <f t="shared" si="7"/>
        <v>898456.38404595631</v>
      </c>
      <c r="AL40" s="6">
        <f t="shared" si="8"/>
        <v>1322830.7786882387</v>
      </c>
      <c r="AN40" s="63">
        <f t="shared" si="12"/>
        <v>0</v>
      </c>
      <c r="AO40" s="63">
        <f t="shared" si="13"/>
        <v>0</v>
      </c>
      <c r="AP40" s="16" cm="1">
        <f t="array" ref="AP40">IF(AO40=0,IF(AN40&gt;0,INDEX($AL$13:$AL$610,AN40*12),0),INDEX($AL$13:$AL$610,AN40*12+AO40))</f>
        <v>0</v>
      </c>
      <c r="AQ40" s="16">
        <f t="shared" si="9"/>
        <v>0</v>
      </c>
      <c r="AR40" s="16">
        <f t="shared" si="10"/>
        <v>0</v>
      </c>
      <c r="AS40" s="94">
        <f t="shared" si="11"/>
        <v>0</v>
      </c>
    </row>
    <row r="41" spans="1:45" hidden="1" x14ac:dyDescent="0.25">
      <c r="M41" s="3">
        <v>29</v>
      </c>
      <c r="N41" s="3">
        <f t="shared" si="4"/>
        <v>41078.20855944194</v>
      </c>
      <c r="O41" s="6">
        <f t="shared" si="5"/>
        <v>1376850.8372092899</v>
      </c>
      <c r="P41" s="6"/>
      <c r="S41" s="23"/>
      <c r="AG41" s="3">
        <v>29</v>
      </c>
      <c r="AI41" s="23">
        <f t="shared" si="6"/>
        <v>1376850.8372092899</v>
      </c>
      <c r="AJ41" s="44">
        <f t="shared" si="7"/>
        <v>935146.38795779692</v>
      </c>
      <c r="AL41" s="6">
        <f t="shared" si="8"/>
        <v>1376850.8372092899</v>
      </c>
      <c r="AN41" s="63">
        <f t="shared" si="12"/>
        <v>0</v>
      </c>
      <c r="AO41" s="63">
        <f t="shared" si="13"/>
        <v>0</v>
      </c>
      <c r="AP41" s="16" cm="1">
        <f t="array" ref="AP41">IF(AO41=0,IF(AN41&gt;0,INDEX($AL$13:$AL$610,AN41*12),0),INDEX($AL$13:$AL$610,AN41*12+AO41))</f>
        <v>0</v>
      </c>
      <c r="AQ41" s="16">
        <f t="shared" si="9"/>
        <v>0</v>
      </c>
      <c r="AR41" s="16">
        <f t="shared" si="10"/>
        <v>0</v>
      </c>
      <c r="AS41" s="94">
        <f t="shared" si="11"/>
        <v>0</v>
      </c>
    </row>
    <row r="42" spans="1:45" hidden="1" x14ac:dyDescent="0.25">
      <c r="M42" s="3">
        <v>30</v>
      </c>
      <c r="N42" s="3">
        <f t="shared" si="4"/>
        <v>41078.20855944194</v>
      </c>
      <c r="O42" s="6">
        <f t="shared" si="5"/>
        <v>1431383.4808799634</v>
      </c>
      <c r="P42" s="6"/>
      <c r="S42" s="23"/>
      <c r="AG42" s="3">
        <v>30</v>
      </c>
      <c r="AI42" s="23">
        <f t="shared" si="6"/>
        <v>1431383.4808799634</v>
      </c>
      <c r="AJ42" s="44">
        <f t="shared" si="7"/>
        <v>972184.5357195274</v>
      </c>
      <c r="AL42" s="6">
        <f t="shared" si="8"/>
        <v>1431383.4808799634</v>
      </c>
      <c r="AN42" s="63">
        <f t="shared" si="12"/>
        <v>0</v>
      </c>
      <c r="AO42" s="63">
        <f t="shared" si="13"/>
        <v>0</v>
      </c>
      <c r="AP42" s="16" cm="1">
        <f t="array" ref="AP42">IF(AO42=0,IF(AN42&gt;0,INDEX($AL$13:$AL$610,AN42*12),0),INDEX($AL$13:$AL$610,AN42*12+AO42))</f>
        <v>0</v>
      </c>
      <c r="AQ42" s="16">
        <f t="shared" si="9"/>
        <v>0</v>
      </c>
      <c r="AR42" s="16">
        <f t="shared" si="10"/>
        <v>0</v>
      </c>
      <c r="AS42" s="94">
        <f t="shared" si="11"/>
        <v>0</v>
      </c>
    </row>
    <row r="43" spans="1:45" hidden="1" x14ac:dyDescent="0.25">
      <c r="M43" s="3">
        <v>31</v>
      </c>
      <c r="N43" s="3">
        <f t="shared" si="4"/>
        <v>41078.20855944194</v>
      </c>
      <c r="O43" s="6">
        <f t="shared" si="5"/>
        <v>1486433.5735146024</v>
      </c>
      <c r="P43" s="6"/>
      <c r="S43" s="23"/>
      <c r="AG43" s="3">
        <v>31</v>
      </c>
      <c r="AI43" s="23">
        <f t="shared" si="6"/>
        <v>1486433.5735146024</v>
      </c>
      <c r="AJ43" s="44">
        <f t="shared" si="7"/>
        <v>1009574.1307960487</v>
      </c>
      <c r="AL43" s="6">
        <f t="shared" si="8"/>
        <v>1486433.5735146024</v>
      </c>
      <c r="AN43" s="63">
        <f t="shared" si="12"/>
        <v>0</v>
      </c>
      <c r="AO43" s="63">
        <f t="shared" si="13"/>
        <v>0</v>
      </c>
      <c r="AP43" s="16" cm="1">
        <f t="array" ref="AP43">IF(AO43=0,IF(AN43&gt;0,INDEX($AL$13:$AL$610,AN43*12),0),INDEX($AL$13:$AL$610,AN43*12+AO43))</f>
        <v>0</v>
      </c>
      <c r="AQ43" s="16">
        <f t="shared" si="9"/>
        <v>0</v>
      </c>
      <c r="AR43" s="16">
        <f t="shared" si="10"/>
        <v>0</v>
      </c>
      <c r="AS43" s="94">
        <f t="shared" si="11"/>
        <v>0</v>
      </c>
    </row>
    <row r="44" spans="1:45" hidden="1" x14ac:dyDescent="0.25">
      <c r="M44" s="3">
        <v>32</v>
      </c>
      <c r="N44" s="3">
        <f t="shared" si="4"/>
        <v>41078.20855944194</v>
      </c>
      <c r="O44" s="6">
        <f t="shared" si="5"/>
        <v>1542006.0250792811</v>
      </c>
      <c r="P44" s="6"/>
      <c r="S44" s="23"/>
      <c r="AG44" s="3">
        <v>32</v>
      </c>
      <c r="AI44" s="23">
        <f t="shared" si="6"/>
        <v>1542006.0250792811</v>
      </c>
      <c r="AJ44" s="44">
        <f t="shared" si="7"/>
        <v>1047318.5079981592</v>
      </c>
      <c r="AL44" s="6">
        <f t="shared" si="8"/>
        <v>1542006.0250792811</v>
      </c>
      <c r="AN44" s="63">
        <f t="shared" si="12"/>
        <v>0</v>
      </c>
      <c r="AO44" s="63">
        <f t="shared" si="13"/>
        <v>0</v>
      </c>
      <c r="AP44" s="16" cm="1">
        <f t="array" ref="AP44">IF(AO44=0,IF(AN44&gt;0,INDEX($AL$13:$AL$610,AN44*12),0),INDEX($AL$13:$AL$610,AN44*12+AO44))</f>
        <v>0</v>
      </c>
      <c r="AQ44" s="16">
        <f t="shared" si="9"/>
        <v>0</v>
      </c>
      <c r="AR44" s="16">
        <f t="shared" si="10"/>
        <v>0</v>
      </c>
      <c r="AS44" s="94">
        <f t="shared" si="11"/>
        <v>0</v>
      </c>
    </row>
    <row r="45" spans="1:45" hidden="1" x14ac:dyDescent="0.25">
      <c r="M45" s="3">
        <v>33</v>
      </c>
      <c r="N45" s="3">
        <f t="shared" si="4"/>
        <v>41078.20855944194</v>
      </c>
      <c r="O45" s="6">
        <f t="shared" si="5"/>
        <v>1598105.7921297234</v>
      </c>
      <c r="P45" s="6"/>
      <c r="S45" s="23"/>
      <c r="AG45" s="3">
        <v>33</v>
      </c>
      <c r="AI45" s="23">
        <f t="shared" si="6"/>
        <v>1598105.7921297234</v>
      </c>
      <c r="AJ45" s="44">
        <f t="shared" si="7"/>
        <v>1085421.0337799846</v>
      </c>
      <c r="AL45" s="6">
        <f t="shared" si="8"/>
        <v>1598105.7921297234</v>
      </c>
      <c r="AN45" s="63">
        <f t="shared" si="12"/>
        <v>0</v>
      </c>
      <c r="AO45" s="63">
        <f t="shared" si="13"/>
        <v>0</v>
      </c>
      <c r="AP45" s="16" cm="1">
        <f t="array" ref="AP45">IF(AO45=0,IF(AN45&gt;0,INDEX($AL$13:$AL$610,AN45*12),0),INDEX($AL$13:$AL$610,AN45*12+AO45))</f>
        <v>0</v>
      </c>
      <c r="AQ45" s="16">
        <f t="shared" si="9"/>
        <v>0</v>
      </c>
      <c r="AR45" s="16">
        <f t="shared" si="10"/>
        <v>0</v>
      </c>
      <c r="AS45" s="94">
        <f t="shared" si="11"/>
        <v>0</v>
      </c>
    </row>
    <row r="46" spans="1:45" hidden="1" x14ac:dyDescent="0.25">
      <c r="M46" s="3">
        <v>34</v>
      </c>
      <c r="N46" s="3">
        <f t="shared" si="4"/>
        <v>41078.20855944194</v>
      </c>
      <c r="O46" s="6">
        <f t="shared" si="5"/>
        <v>1654737.8782533875</v>
      </c>
      <c r="P46" s="6"/>
      <c r="S46" s="23"/>
      <c r="AG46" s="3">
        <v>34</v>
      </c>
      <c r="AI46" s="23">
        <f t="shared" si="6"/>
        <v>1654737.8782533875</v>
      </c>
      <c r="AJ46" s="44">
        <f t="shared" si="7"/>
        <v>1123885.1065392396</v>
      </c>
      <c r="AL46" s="6">
        <f t="shared" si="8"/>
        <v>1654737.8782533875</v>
      </c>
      <c r="AN46" s="63">
        <f t="shared" si="12"/>
        <v>0</v>
      </c>
      <c r="AO46" s="63">
        <f t="shared" si="13"/>
        <v>0</v>
      </c>
      <c r="AP46" s="16" cm="1">
        <f t="array" ref="AP46">IF(AO46=0,IF(AN46&gt;0,INDEX($AL$13:$AL$610,AN46*12),0),INDEX($AL$13:$AL$610,AN46*12+AO46))</f>
        <v>0</v>
      </c>
      <c r="AQ46" s="16">
        <f t="shared" si="9"/>
        <v>0</v>
      </c>
      <c r="AR46" s="16">
        <f t="shared" si="10"/>
        <v>0</v>
      </c>
      <c r="AS46" s="94">
        <f t="shared" si="11"/>
        <v>0</v>
      </c>
    </row>
    <row r="47" spans="1:45" hidden="1" x14ac:dyDescent="0.25">
      <c r="M47" s="3">
        <v>35</v>
      </c>
      <c r="N47" s="3">
        <f t="shared" si="4"/>
        <v>41078.20855944194</v>
      </c>
      <c r="O47" s="6">
        <f t="shared" si="5"/>
        <v>1711907.3345157315</v>
      </c>
      <c r="P47" s="6"/>
      <c r="S47" s="23"/>
      <c r="AG47" s="3">
        <v>35</v>
      </c>
      <c r="AI47" s="23">
        <f t="shared" si="6"/>
        <v>1711907.3345157315</v>
      </c>
      <c r="AJ47" s="44">
        <f t="shared" si="7"/>
        <v>1162714.1569203273</v>
      </c>
      <c r="AL47" s="6">
        <f t="shared" si="8"/>
        <v>1711907.3345157315</v>
      </c>
      <c r="AN47" s="63">
        <f t="shared" si="12"/>
        <v>0</v>
      </c>
      <c r="AO47" s="63">
        <f t="shared" si="13"/>
        <v>0</v>
      </c>
      <c r="AP47" s="16" cm="1">
        <f t="array" ref="AP47">IF(AO47=0,IF(AN47&gt;0,INDEX($AL$13:$AL$610,AN47*12),0),INDEX($AL$13:$AL$610,AN47*12+AO47))</f>
        <v>0</v>
      </c>
      <c r="AQ47" s="16">
        <f t="shared" si="9"/>
        <v>0</v>
      </c>
      <c r="AR47" s="16">
        <f t="shared" si="10"/>
        <v>0</v>
      </c>
      <c r="AS47" s="94">
        <f t="shared" si="11"/>
        <v>0</v>
      </c>
    </row>
    <row r="48" spans="1:45" hidden="1" x14ac:dyDescent="0.25">
      <c r="M48" s="3">
        <v>36</v>
      </c>
      <c r="N48" s="3">
        <f t="shared" si="4"/>
        <v>41078.20855944194</v>
      </c>
      <c r="O48" s="6">
        <f t="shared" si="5"/>
        <v>1769619.2599107318</v>
      </c>
      <c r="P48" s="6"/>
      <c r="S48" s="23"/>
      <c r="AG48" s="3">
        <v>36</v>
      </c>
      <c r="AI48" s="23">
        <f t="shared" si="6"/>
        <v>1769619.2599107318</v>
      </c>
      <c r="AJ48" s="44">
        <f t="shared" si="7"/>
        <v>1201911.6481203279</v>
      </c>
      <c r="AL48" s="6">
        <f t="shared" si="8"/>
        <v>1769619.2599107318</v>
      </c>
      <c r="AN48" s="63">
        <f t="shared" si="12"/>
        <v>0</v>
      </c>
      <c r="AO48" s="63">
        <f t="shared" si="13"/>
        <v>0</v>
      </c>
      <c r="AP48" s="16" cm="1">
        <f t="array" ref="AP48">IF(AO48=0,IF(AN48&gt;0,INDEX($AL$13:$AL$610,AN48*12),0),INDEX($AL$13:$AL$610,AN48*12+AO48))</f>
        <v>0</v>
      </c>
      <c r="AQ48" s="16">
        <f t="shared" si="9"/>
        <v>0</v>
      </c>
      <c r="AR48" s="16">
        <f t="shared" si="10"/>
        <v>0</v>
      </c>
      <c r="AS48" s="94">
        <f t="shared" si="11"/>
        <v>0</v>
      </c>
    </row>
    <row r="49" spans="13:45" hidden="1" x14ac:dyDescent="0.25">
      <c r="M49" s="3">
        <v>37</v>
      </c>
      <c r="N49" s="3">
        <f t="shared" si="4"/>
        <v>41078.20855944194</v>
      </c>
      <c r="O49" s="6">
        <f t="shared" si="5"/>
        <v>1827878.8018156604</v>
      </c>
      <c r="P49" s="6"/>
      <c r="S49" s="23"/>
      <c r="AG49" s="3">
        <v>37</v>
      </c>
      <c r="AI49" s="23">
        <f t="shared" si="6"/>
        <v>1827878.8018156604</v>
      </c>
      <c r="AJ49" s="44">
        <f t="shared" si="7"/>
        <v>1241481.0761978794</v>
      </c>
      <c r="AL49" s="6">
        <f t="shared" si="8"/>
        <v>1827878.8018156604</v>
      </c>
      <c r="AN49" s="63">
        <f t="shared" si="12"/>
        <v>0</v>
      </c>
      <c r="AO49" s="63">
        <f t="shared" si="13"/>
        <v>0</v>
      </c>
      <c r="AP49" s="16" cm="1">
        <f t="array" ref="AP49">IF(AO49=0,IF(AN49&gt;0,INDEX($AL$13:$AL$610,AN49*12),0),INDEX($AL$13:$AL$610,AN49*12+AO49))</f>
        <v>0</v>
      </c>
      <c r="AQ49" s="16">
        <f t="shared" si="9"/>
        <v>0</v>
      </c>
      <c r="AR49" s="16">
        <f t="shared" si="10"/>
        <v>0</v>
      </c>
      <c r="AS49" s="94">
        <f t="shared" si="11"/>
        <v>0</v>
      </c>
    </row>
    <row r="50" spans="13:45" hidden="1" x14ac:dyDescent="0.25">
      <c r="M50" s="3">
        <v>38</v>
      </c>
      <c r="N50" s="3">
        <f t="shared" si="4"/>
        <v>41078.20855944194</v>
      </c>
      <c r="O50" s="6">
        <f t="shared" si="5"/>
        <v>1886691.1564501901</v>
      </c>
      <c r="P50" s="6"/>
      <c r="S50" s="23"/>
      <c r="AG50" s="3">
        <v>38</v>
      </c>
      <c r="AI50" s="23">
        <f t="shared" si="6"/>
        <v>1886691.1564501901</v>
      </c>
      <c r="AJ50" s="44">
        <f t="shared" si="7"/>
        <v>1281425.9703850001</v>
      </c>
      <c r="AL50" s="6">
        <f t="shared" si="8"/>
        <v>1886691.1564501901</v>
      </c>
      <c r="AN50" s="63">
        <f t="shared" si="12"/>
        <v>0</v>
      </c>
      <c r="AO50" s="63">
        <f t="shared" si="13"/>
        <v>0</v>
      </c>
      <c r="AP50" s="16" cm="1">
        <f t="array" ref="AP50">IF(AO50=0,IF(AN50&gt;0,INDEX($AL$13:$AL$610,AN50*12),0),INDEX($AL$13:$AL$610,AN50*12+AO50))</f>
        <v>0</v>
      </c>
      <c r="AQ50" s="16">
        <f t="shared" si="9"/>
        <v>0</v>
      </c>
      <c r="AR50" s="16">
        <f t="shared" si="10"/>
        <v>0</v>
      </c>
      <c r="AS50" s="94">
        <f t="shared" si="11"/>
        <v>0</v>
      </c>
    </row>
    <row r="51" spans="13:45" hidden="1" x14ac:dyDescent="0.25">
      <c r="M51" s="3">
        <v>39</v>
      </c>
      <c r="N51" s="3">
        <f t="shared" si="4"/>
        <v>41078.20855944194</v>
      </c>
      <c r="O51" s="6">
        <f t="shared" si="5"/>
        <v>1946061.5693398416</v>
      </c>
      <c r="P51" s="6"/>
      <c r="S51" s="23"/>
      <c r="AG51" s="3">
        <v>39</v>
      </c>
      <c r="AI51" s="23">
        <f t="shared" si="6"/>
        <v>1946061.5693398416</v>
      </c>
      <c r="AJ51" s="44">
        <f t="shared" si="7"/>
        <v>1321749.8934018558</v>
      </c>
      <c r="AL51" s="6">
        <f t="shared" si="8"/>
        <v>1946061.5693398416</v>
      </c>
      <c r="AN51" s="63">
        <f t="shared" si="12"/>
        <v>0</v>
      </c>
      <c r="AO51" s="63">
        <f t="shared" si="13"/>
        <v>0</v>
      </c>
      <c r="AP51" s="16" cm="1">
        <f t="array" ref="AP51">IF(AO51=0,IF(AN51&gt;0,INDEX($AL$13:$AL$610,AN51*12),0),INDEX($AL$13:$AL$610,AN51*12+AO51))</f>
        <v>0</v>
      </c>
      <c r="AQ51" s="16">
        <f t="shared" si="9"/>
        <v>0</v>
      </c>
      <c r="AR51" s="16">
        <f t="shared" si="10"/>
        <v>0</v>
      </c>
      <c r="AS51" s="94">
        <f t="shared" si="11"/>
        <v>0</v>
      </c>
    </row>
    <row r="52" spans="13:45" hidden="1" x14ac:dyDescent="0.25">
      <c r="M52" s="3">
        <v>40</v>
      </c>
      <c r="N52" s="3">
        <f t="shared" si="4"/>
        <v>41078.20855944194</v>
      </c>
      <c r="O52" s="6">
        <f t="shared" si="5"/>
        <v>2005995.3357838425</v>
      </c>
      <c r="P52" s="6"/>
      <c r="S52" s="23"/>
      <c r="AG52" s="3">
        <v>40</v>
      </c>
      <c r="AI52" s="23">
        <f t="shared" si="6"/>
        <v>2005995.3357838425</v>
      </c>
      <c r="AJ52" s="44">
        <f t="shared" si="7"/>
        <v>1362456.4417745275</v>
      </c>
      <c r="AL52" s="6">
        <f t="shared" si="8"/>
        <v>2005995.3357838425</v>
      </c>
      <c r="AN52" s="63">
        <f t="shared" si="12"/>
        <v>0</v>
      </c>
      <c r="AO52" s="63">
        <f t="shared" si="13"/>
        <v>0</v>
      </c>
      <c r="AP52" s="16" cm="1">
        <f t="array" ref="AP52">IF(AO52=0,IF(AN52&gt;0,INDEX($AL$13:$AL$610,AN52*12),0),INDEX($AL$13:$AL$610,AN52*12+AO52))</f>
        <v>0</v>
      </c>
      <c r="AQ52" s="16">
        <f t="shared" si="9"/>
        <v>0</v>
      </c>
      <c r="AR52" s="16">
        <f t="shared" si="10"/>
        <v>0</v>
      </c>
      <c r="AS52" s="94">
        <f t="shared" si="11"/>
        <v>0</v>
      </c>
    </row>
    <row r="53" spans="13:45" hidden="1" x14ac:dyDescent="0.25">
      <c r="M53" s="3">
        <v>41</v>
      </c>
      <c r="N53" s="3">
        <f t="shared" si="4"/>
        <v>41078.20855944194</v>
      </c>
      <c r="O53" s="6">
        <f t="shared" si="5"/>
        <v>2066497.8013274204</v>
      </c>
      <c r="P53" s="6"/>
      <c r="S53" s="23"/>
      <c r="AG53" s="3">
        <v>41</v>
      </c>
      <c r="AI53" s="23">
        <f t="shared" si="6"/>
        <v>2066497.8013274204</v>
      </c>
      <c r="AJ53" s="44">
        <f t="shared" si="7"/>
        <v>1403549.2461557894</v>
      </c>
      <c r="AL53" s="6">
        <f t="shared" si="8"/>
        <v>2066497.8013274204</v>
      </c>
      <c r="AN53" s="63">
        <f t="shared" si="12"/>
        <v>0</v>
      </c>
      <c r="AO53" s="63">
        <f t="shared" si="13"/>
        <v>0</v>
      </c>
      <c r="AP53" s="16" cm="1">
        <f t="array" ref="AP53">IF(AO53=0,IF(AN53&gt;0,INDEX($AL$13:$AL$610,AN53*12),0),INDEX($AL$13:$AL$610,AN53*12+AO53))</f>
        <v>0</v>
      </c>
      <c r="AQ53" s="16">
        <f t="shared" si="9"/>
        <v>0</v>
      </c>
      <c r="AR53" s="16">
        <f t="shared" si="10"/>
        <v>0</v>
      </c>
      <c r="AS53" s="94">
        <f t="shared" si="11"/>
        <v>0</v>
      </c>
    </row>
    <row r="54" spans="13:45" hidden="1" x14ac:dyDescent="0.25">
      <c r="M54" s="3">
        <v>42</v>
      </c>
      <c r="N54" s="3">
        <f t="shared" si="4"/>
        <v>41078.20855944194</v>
      </c>
      <c r="O54" s="6">
        <f t="shared" si="5"/>
        <v>2127574.3622385743</v>
      </c>
      <c r="P54" s="6"/>
      <c r="S54" s="23"/>
      <c r="AG54" s="3">
        <v>42</v>
      </c>
      <c r="AI54" s="23">
        <f t="shared" si="6"/>
        <v>2127574.3622385743</v>
      </c>
      <c r="AJ54" s="44">
        <f t="shared" si="7"/>
        <v>1445031.9716489273</v>
      </c>
      <c r="AL54" s="6">
        <f t="shared" si="8"/>
        <v>2127574.3622385743</v>
      </c>
      <c r="AN54" s="63">
        <f t="shared" si="12"/>
        <v>0</v>
      </c>
      <c r="AO54" s="63">
        <f t="shared" si="13"/>
        <v>0</v>
      </c>
      <c r="AP54" s="16" cm="1">
        <f t="array" ref="AP54">IF(AO54=0,IF(AN54&gt;0,INDEX($AL$13:$AL$610,AN54*12),0),INDEX($AL$13:$AL$610,AN54*12+AO54))</f>
        <v>0</v>
      </c>
      <c r="AQ54" s="16">
        <f t="shared" si="9"/>
        <v>0</v>
      </c>
      <c r="AR54" s="16">
        <f t="shared" si="10"/>
        <v>0</v>
      </c>
      <c r="AS54" s="94">
        <f t="shared" si="11"/>
        <v>0</v>
      </c>
    </row>
    <row r="55" spans="13:45" hidden="1" x14ac:dyDescent="0.25">
      <c r="M55" s="3">
        <v>43</v>
      </c>
      <c r="N55" s="3">
        <f t="shared" si="4"/>
        <v>41078.20855944194</v>
      </c>
      <c r="O55" s="6">
        <f t="shared" si="5"/>
        <v>2189230.4659893708</v>
      </c>
      <c r="P55" s="6"/>
      <c r="S55" s="23"/>
      <c r="AG55" s="3">
        <v>43</v>
      </c>
      <c r="AI55" s="23">
        <f t="shared" si="6"/>
        <v>2189230.4659893708</v>
      </c>
      <c r="AJ55" s="44">
        <f t="shared" si="7"/>
        <v>1486908.3181346315</v>
      </c>
      <c r="AL55" s="6">
        <f t="shared" si="8"/>
        <v>2189230.4659893708</v>
      </c>
      <c r="AN55" s="63">
        <f t="shared" si="12"/>
        <v>0</v>
      </c>
      <c r="AO55" s="63">
        <f t="shared" si="13"/>
        <v>0</v>
      </c>
      <c r="AP55" s="16" cm="1">
        <f t="array" ref="AP55">IF(AO55=0,IF(AN55&gt;0,INDEX($AL$13:$AL$610,AN55*12),0),INDEX($AL$13:$AL$610,AN55*12+AO55))</f>
        <v>0</v>
      </c>
      <c r="AQ55" s="16">
        <f t="shared" si="9"/>
        <v>0</v>
      </c>
      <c r="AR55" s="16">
        <f t="shared" si="10"/>
        <v>0</v>
      </c>
      <c r="AS55" s="94">
        <f t="shared" si="11"/>
        <v>0</v>
      </c>
    </row>
    <row r="56" spans="13:45" hidden="1" x14ac:dyDescent="0.25">
      <c r="M56" s="3">
        <v>44</v>
      </c>
      <c r="N56" s="3">
        <f t="shared" si="4"/>
        <v>41078.20855944194</v>
      </c>
      <c r="O56" s="6">
        <f t="shared" si="5"/>
        <v>2251471.611741811</v>
      </c>
      <c r="P56" s="6"/>
      <c r="S56" s="23"/>
      <c r="AG56" s="3">
        <v>44</v>
      </c>
      <c r="AI56" s="23">
        <f t="shared" si="6"/>
        <v>2251471.611741811</v>
      </c>
      <c r="AJ56" s="44">
        <f t="shared" si="7"/>
        <v>1529182.0206009953</v>
      </c>
      <c r="AL56" s="6">
        <f t="shared" si="8"/>
        <v>2251471.611741811</v>
      </c>
      <c r="AN56" s="63">
        <f t="shared" si="12"/>
        <v>0</v>
      </c>
      <c r="AO56" s="63">
        <f t="shared" si="13"/>
        <v>0</v>
      </c>
      <c r="AP56" s="16" cm="1">
        <f t="array" ref="AP56">IF(AO56=0,IF(AN56&gt;0,INDEX($AL$13:$AL$610,AN56*12),0),INDEX($AL$13:$AL$610,AN56*12+AO56))</f>
        <v>0</v>
      </c>
      <c r="AQ56" s="16">
        <f t="shared" si="9"/>
        <v>0</v>
      </c>
      <c r="AR56" s="16">
        <f t="shared" si="10"/>
        <v>0</v>
      </c>
      <c r="AS56" s="94">
        <f t="shared" si="11"/>
        <v>0</v>
      </c>
    </row>
    <row r="57" spans="13:45" hidden="1" x14ac:dyDescent="0.25">
      <c r="M57" s="3">
        <v>45</v>
      </c>
      <c r="N57" s="3">
        <f t="shared" si="4"/>
        <v>41078.20855944194</v>
      </c>
      <c r="O57" s="6">
        <f t="shared" si="5"/>
        <v>2314303.3508383059</v>
      </c>
      <c r="P57" s="6"/>
      <c r="S57" s="23"/>
      <c r="AG57" s="3">
        <v>45</v>
      </c>
      <c r="AI57" s="23">
        <f t="shared" si="6"/>
        <v>2314303.3508383059</v>
      </c>
      <c r="AJ57" s="44">
        <f t="shared" si="7"/>
        <v>1571856.8494766396</v>
      </c>
      <c r="AL57" s="6">
        <f t="shared" si="8"/>
        <v>2314303.3508383059</v>
      </c>
      <c r="AN57" s="63">
        <f t="shared" si="12"/>
        <v>0</v>
      </c>
      <c r="AO57" s="63">
        <f t="shared" si="13"/>
        <v>0</v>
      </c>
      <c r="AP57" s="16" cm="1">
        <f t="array" ref="AP57">IF(AO57=0,IF(AN57&gt;0,INDEX($AL$13:$AL$610,AN57*12),0),INDEX($AL$13:$AL$610,AN57*12+AO57))</f>
        <v>0</v>
      </c>
      <c r="AQ57" s="16">
        <f t="shared" si="9"/>
        <v>0</v>
      </c>
      <c r="AR57" s="16">
        <f t="shared" si="10"/>
        <v>0</v>
      </c>
      <c r="AS57" s="94">
        <f t="shared" si="11"/>
        <v>0</v>
      </c>
    </row>
    <row r="58" spans="13:45" hidden="1" x14ac:dyDescent="0.25">
      <c r="M58" s="3">
        <v>46</v>
      </c>
      <c r="N58" s="3">
        <f t="shared" si="4"/>
        <v>41078.20855944194</v>
      </c>
      <c r="O58" s="6">
        <f t="shared" si="5"/>
        <v>2377731.2872968102</v>
      </c>
      <c r="P58" s="6"/>
      <c r="S58" s="23"/>
      <c r="AG58" s="3">
        <v>46</v>
      </c>
      <c r="AI58" s="23">
        <f t="shared" si="6"/>
        <v>2377731.2872968102</v>
      </c>
      <c r="AJ58" s="44">
        <f t="shared" si="7"/>
        <v>1614936.6109670054</v>
      </c>
      <c r="AL58" s="6">
        <f t="shared" si="8"/>
        <v>2377731.2872968102</v>
      </c>
      <c r="AN58" s="63">
        <f t="shared" si="12"/>
        <v>0</v>
      </c>
      <c r="AO58" s="63">
        <f t="shared" si="13"/>
        <v>0</v>
      </c>
      <c r="AP58" s="16" cm="1">
        <f t="array" ref="AP58">IF(AO58=0,IF(AN58&gt;0,INDEX($AL$13:$AL$610,AN58*12),0),INDEX($AL$13:$AL$610,AN58*12+AO58))</f>
        <v>0</v>
      </c>
      <c r="AQ58" s="16">
        <f t="shared" si="9"/>
        <v>0</v>
      </c>
      <c r="AR58" s="16">
        <f t="shared" si="10"/>
        <v>0</v>
      </c>
      <c r="AS58" s="94">
        <f t="shared" si="11"/>
        <v>0</v>
      </c>
    </row>
    <row r="59" spans="13:45" hidden="1" x14ac:dyDescent="0.25">
      <c r="M59" s="3">
        <v>47</v>
      </c>
      <c r="N59" s="3">
        <f t="shared" si="4"/>
        <v>41078.20855944194</v>
      </c>
      <c r="O59" s="6">
        <f t="shared" si="5"/>
        <v>2441761.0783106359</v>
      </c>
      <c r="P59" s="6"/>
      <c r="S59" s="23"/>
      <c r="AG59" s="3">
        <v>47</v>
      </c>
      <c r="AI59" s="23">
        <f t="shared" si="6"/>
        <v>2441761.0783106359</v>
      </c>
      <c r="AJ59" s="44">
        <f t="shared" si="7"/>
        <v>1658425.1473938241</v>
      </c>
      <c r="AL59" s="6">
        <f t="shared" si="8"/>
        <v>2441761.0783106359</v>
      </c>
      <c r="AN59" s="63">
        <f t="shared" si="12"/>
        <v>0</v>
      </c>
      <c r="AO59" s="63">
        <f t="shared" si="13"/>
        <v>0</v>
      </c>
      <c r="AP59" s="16" cm="1">
        <f t="array" ref="AP59">IF(AO59=0,IF(AN59&gt;0,INDEX($AL$13:$AL$610,AN59*12),0),INDEX($AL$13:$AL$610,AN59*12+AO59))</f>
        <v>0</v>
      </c>
      <c r="AQ59" s="16">
        <f t="shared" si="9"/>
        <v>0</v>
      </c>
      <c r="AR59" s="16">
        <f t="shared" si="10"/>
        <v>0</v>
      </c>
      <c r="AS59" s="94">
        <f t="shared" si="11"/>
        <v>0</v>
      </c>
    </row>
    <row r="60" spans="13:45" hidden="1" x14ac:dyDescent="0.25">
      <c r="M60" s="3">
        <v>48</v>
      </c>
      <c r="N60" s="3">
        <f t="shared" si="4"/>
        <v>41078.20855944194</v>
      </c>
      <c r="O60" s="6">
        <f t="shared" si="5"/>
        <v>2506398.4347530352</v>
      </c>
      <c r="P60" s="6"/>
      <c r="S60" s="23"/>
      <c r="AG60" s="3">
        <v>48</v>
      </c>
      <c r="AI60" s="23">
        <f t="shared" si="6"/>
        <v>2506398.4347530352</v>
      </c>
      <c r="AJ60" s="44">
        <f t="shared" si="7"/>
        <v>1702326.3375378239</v>
      </c>
      <c r="AL60" s="6">
        <f t="shared" si="8"/>
        <v>2506398.4347530352</v>
      </c>
      <c r="AN60" s="63">
        <f t="shared" si="12"/>
        <v>0</v>
      </c>
      <c r="AO60" s="63">
        <f t="shared" si="13"/>
        <v>0</v>
      </c>
      <c r="AP60" s="16" cm="1">
        <f t="array" ref="AP60">IF(AO60=0,IF(AN60&gt;0,INDEX($AL$13:$AL$610,AN60*12),0),INDEX($AL$13:$AL$610,AN60*12+AO60))</f>
        <v>0</v>
      </c>
      <c r="AQ60" s="16">
        <f t="shared" si="9"/>
        <v>0</v>
      </c>
      <c r="AR60" s="16">
        <f t="shared" si="10"/>
        <v>0</v>
      </c>
      <c r="AS60" s="94">
        <f t="shared" si="11"/>
        <v>0</v>
      </c>
    </row>
    <row r="61" spans="13:45" hidden="1" x14ac:dyDescent="0.25">
      <c r="M61" s="3">
        <v>49</v>
      </c>
      <c r="N61" s="3">
        <f t="shared" si="4"/>
        <v>41078.20855944194</v>
      </c>
      <c r="O61" s="6">
        <f t="shared" si="5"/>
        <v>2571649.1216865559</v>
      </c>
      <c r="P61" s="6"/>
      <c r="S61" s="23"/>
      <c r="AG61" s="3">
        <v>49</v>
      </c>
      <c r="AI61" s="23">
        <f t="shared" si="6"/>
        <v>2571649.1216865559</v>
      </c>
      <c r="AJ61" s="44">
        <f t="shared" si="7"/>
        <v>1746644.0969846821</v>
      </c>
      <c r="AL61" s="6">
        <f t="shared" si="8"/>
        <v>2571649.1216865559</v>
      </c>
      <c r="AN61" s="63">
        <f t="shared" si="12"/>
        <v>0</v>
      </c>
      <c r="AO61" s="63">
        <f t="shared" si="13"/>
        <v>0</v>
      </c>
      <c r="AP61" s="16" cm="1">
        <f t="array" ref="AP61">IF(AO61=0,IF(AN61&gt;0,INDEX($AL$13:$AL$610,AN61*12),0),INDEX($AL$13:$AL$610,AN61*12+AO61))</f>
        <v>0</v>
      </c>
      <c r="AQ61" s="16">
        <f t="shared" si="9"/>
        <v>0</v>
      </c>
      <c r="AR61" s="16">
        <f t="shared" si="10"/>
        <v>0</v>
      </c>
      <c r="AS61" s="94">
        <f t="shared" si="11"/>
        <v>0</v>
      </c>
    </row>
    <row r="62" spans="13:45" hidden="1" x14ac:dyDescent="0.25">
      <c r="M62" s="3">
        <v>50</v>
      </c>
      <c r="N62" s="3">
        <f t="shared" si="4"/>
        <v>41078.20855944194</v>
      </c>
      <c r="O62" s="6">
        <f t="shared" si="5"/>
        <v>2637518.9588772282</v>
      </c>
      <c r="P62" s="6"/>
      <c r="S62" s="23"/>
      <c r="AG62" s="3">
        <v>50</v>
      </c>
      <c r="AI62" s="23">
        <f t="shared" si="6"/>
        <v>2637518.9588772282</v>
      </c>
      <c r="AJ62" s="44">
        <f t="shared" si="7"/>
        <v>1791382.3784742567</v>
      </c>
      <c r="AL62" s="6">
        <f t="shared" si="8"/>
        <v>2637518.9588772282</v>
      </c>
      <c r="AN62" s="63">
        <f t="shared" si="12"/>
        <v>0</v>
      </c>
      <c r="AO62" s="63">
        <f t="shared" si="13"/>
        <v>0</v>
      </c>
      <c r="AP62" s="16" cm="1">
        <f t="array" ref="AP62">IF(AO62=0,IF(AN62&gt;0,INDEX($AL$13:$AL$610,AN62*12),0),INDEX($AL$13:$AL$610,AN62*12+AO62))</f>
        <v>0</v>
      </c>
      <c r="AQ62" s="16">
        <f t="shared" si="9"/>
        <v>0</v>
      </c>
      <c r="AR62" s="16">
        <f t="shared" si="10"/>
        <v>0</v>
      </c>
      <c r="AS62" s="94">
        <f t="shared" si="11"/>
        <v>0</v>
      </c>
    </row>
    <row r="63" spans="13:45" hidden="1" x14ac:dyDescent="0.25">
      <c r="M63" s="3">
        <v>51</v>
      </c>
      <c r="N63" s="3">
        <f t="shared" si="4"/>
        <v>41078.20855944194</v>
      </c>
      <c r="O63" s="6">
        <f t="shared" si="5"/>
        <v>2704013.8213136382</v>
      </c>
      <c r="P63" s="6"/>
      <c r="S63" s="23"/>
      <c r="AG63" s="3">
        <v>51</v>
      </c>
      <c r="AI63" s="23">
        <f t="shared" si="6"/>
        <v>2704013.8213136382</v>
      </c>
      <c r="AJ63" s="44">
        <f t="shared" si="7"/>
        <v>1836545.1722531351</v>
      </c>
      <c r="AL63" s="6">
        <f t="shared" si="8"/>
        <v>2704013.8213136382</v>
      </c>
      <c r="AN63" s="63">
        <f t="shared" si="12"/>
        <v>0</v>
      </c>
      <c r="AO63" s="63">
        <f t="shared" si="13"/>
        <v>0</v>
      </c>
      <c r="AP63" s="16" cm="1">
        <f t="array" ref="AP63">IF(AO63=0,IF(AN63&gt;0,INDEX($AL$13:$AL$610,AN63*12),0),INDEX($AL$13:$AL$610,AN63*12+AO63))</f>
        <v>0</v>
      </c>
      <c r="AQ63" s="16">
        <f t="shared" si="9"/>
        <v>0</v>
      </c>
      <c r="AR63" s="16">
        <f t="shared" si="10"/>
        <v>0</v>
      </c>
      <c r="AS63" s="94">
        <f t="shared" si="11"/>
        <v>0</v>
      </c>
    </row>
    <row r="64" spans="13:45" hidden="1" x14ac:dyDescent="0.25">
      <c r="M64" s="3">
        <v>52</v>
      </c>
      <c r="N64" s="3">
        <f t="shared" si="4"/>
        <v>41078.20855944194</v>
      </c>
      <c r="O64" s="6">
        <f t="shared" si="5"/>
        <v>2771139.6397309196</v>
      </c>
      <c r="P64" s="6"/>
      <c r="S64" s="23"/>
      <c r="AG64" s="3">
        <v>52</v>
      </c>
      <c r="AI64" s="23">
        <f t="shared" si="6"/>
        <v>2771139.6397309196</v>
      </c>
      <c r="AJ64" s="44">
        <f t="shared" si="7"/>
        <v>1882136.5064305279</v>
      </c>
      <c r="AL64" s="6">
        <f t="shared" si="8"/>
        <v>2771139.6397309196</v>
      </c>
      <c r="AN64" s="63">
        <f t="shared" si="12"/>
        <v>0</v>
      </c>
      <c r="AO64" s="63">
        <f t="shared" si="13"/>
        <v>0</v>
      </c>
      <c r="AP64" s="16" cm="1">
        <f t="array" ref="AP64">IF(AO64=0,IF(AN64&gt;0,INDEX($AL$13:$AL$610,AN64*12),0),INDEX($AL$13:$AL$610,AN64*12+AO64))</f>
        <v>0</v>
      </c>
      <c r="AQ64" s="16">
        <f t="shared" si="9"/>
        <v>0</v>
      </c>
      <c r="AR64" s="16">
        <f t="shared" si="10"/>
        <v>0</v>
      </c>
      <c r="AS64" s="94">
        <f t="shared" si="11"/>
        <v>0</v>
      </c>
    </row>
    <row r="65" spans="13:45" hidden="1" x14ac:dyDescent="0.25">
      <c r="M65" s="3">
        <v>53</v>
      </c>
      <c r="N65" s="3">
        <f t="shared" si="4"/>
        <v>41078.20855944194</v>
      </c>
      <c r="O65" s="6">
        <f t="shared" si="5"/>
        <v>2838902.4011397278</v>
      </c>
      <c r="P65" s="6"/>
      <c r="S65" s="23"/>
      <c r="AG65" s="3">
        <v>53</v>
      </c>
      <c r="AI65" s="23">
        <f t="shared" si="6"/>
        <v>2838902.4011397278</v>
      </c>
      <c r="AJ65" s="44">
        <f t="shared" si="7"/>
        <v>1928160.4473375417</v>
      </c>
      <c r="AL65" s="6">
        <f t="shared" si="8"/>
        <v>2838902.4011397278</v>
      </c>
      <c r="AN65" s="63">
        <f t="shared" si="12"/>
        <v>0</v>
      </c>
      <c r="AO65" s="63">
        <f t="shared" si="13"/>
        <v>0</v>
      </c>
      <c r="AP65" s="16" cm="1">
        <f t="array" ref="AP65">IF(AO65=0,IF(AN65&gt;0,INDEX($AL$13:$AL$610,AN65*12),0),INDEX($AL$13:$AL$610,AN65*12+AO65))</f>
        <v>0</v>
      </c>
      <c r="AQ65" s="16">
        <f t="shared" si="9"/>
        <v>0</v>
      </c>
      <c r="AR65" s="16">
        <f t="shared" si="10"/>
        <v>0</v>
      </c>
      <c r="AS65" s="94">
        <f t="shared" si="11"/>
        <v>0</v>
      </c>
    </row>
    <row r="66" spans="13:45" hidden="1" x14ac:dyDescent="0.25">
      <c r="M66" s="3">
        <v>54</v>
      </c>
      <c r="N66" s="3">
        <f t="shared" si="4"/>
        <v>41078.20855944194</v>
      </c>
      <c r="O66" s="6">
        <f t="shared" si="5"/>
        <v>2907308.1493602199</v>
      </c>
      <c r="P66" s="6"/>
      <c r="S66" s="23"/>
      <c r="AG66" s="3">
        <v>54</v>
      </c>
      <c r="AI66" s="23">
        <f t="shared" si="6"/>
        <v>2907308.1493602199</v>
      </c>
      <c r="AJ66" s="44">
        <f t="shared" si="7"/>
        <v>1974621.0998898561</v>
      </c>
      <c r="AL66" s="6">
        <f t="shared" si="8"/>
        <v>2907308.1493602199</v>
      </c>
      <c r="AN66" s="63">
        <f t="shared" si="12"/>
        <v>0</v>
      </c>
      <c r="AO66" s="63">
        <f t="shared" si="13"/>
        <v>0</v>
      </c>
      <c r="AP66" s="16" cm="1">
        <f t="array" ref="AP66">IF(AO66=0,IF(AN66&gt;0,INDEX($AL$13:$AL$610,AN66*12),0),INDEX($AL$13:$AL$610,AN66*12+AO66))</f>
        <v>0</v>
      </c>
      <c r="AQ66" s="16">
        <f t="shared" si="9"/>
        <v>0</v>
      </c>
      <c r="AR66" s="16">
        <f t="shared" si="10"/>
        <v>0</v>
      </c>
      <c r="AS66" s="94">
        <f t="shared" si="11"/>
        <v>0</v>
      </c>
    </row>
    <row r="67" spans="13:45" hidden="1" x14ac:dyDescent="0.25">
      <c r="M67" s="3">
        <v>55</v>
      </c>
      <c r="N67" s="3">
        <f t="shared" si="4"/>
        <v>41078.20855944194</v>
      </c>
      <c r="O67" s="6">
        <f t="shared" si="5"/>
        <v>2976362.9855611124</v>
      </c>
      <c r="P67" s="6"/>
      <c r="S67" s="23"/>
      <c r="AG67" s="3">
        <v>55</v>
      </c>
      <c r="AI67" s="23">
        <f t="shared" si="6"/>
        <v>2976362.9855611124</v>
      </c>
      <c r="AJ67" s="44">
        <f t="shared" si="7"/>
        <v>2021522.6079538453</v>
      </c>
      <c r="AL67" s="6">
        <f t="shared" si="8"/>
        <v>2976362.9855611124</v>
      </c>
      <c r="AN67" s="63">
        <f t="shared" si="12"/>
        <v>0</v>
      </c>
      <c r="AO67" s="63">
        <f t="shared" si="13"/>
        <v>0</v>
      </c>
      <c r="AP67" s="16" cm="1">
        <f t="array" ref="AP67">IF(AO67=0,IF(AN67&gt;0,INDEX($AL$13:$AL$610,AN67*12),0),INDEX($AL$13:$AL$610,AN67*12+AO67))</f>
        <v>0</v>
      </c>
      <c r="AQ67" s="16">
        <f t="shared" si="9"/>
        <v>0</v>
      </c>
      <c r="AR67" s="16">
        <f t="shared" si="10"/>
        <v>0</v>
      </c>
      <c r="AS67" s="94">
        <f t="shared" si="11"/>
        <v>0</v>
      </c>
    </row>
    <row r="68" spans="13:45" hidden="1" x14ac:dyDescent="0.25">
      <c r="M68" s="3">
        <v>56</v>
      </c>
      <c r="N68" s="3">
        <f t="shared" si="4"/>
        <v>41078.20855944194</v>
      </c>
      <c r="O68" s="6">
        <f t="shared" si="5"/>
        <v>3046073.0688038436</v>
      </c>
      <c r="P68" s="6"/>
      <c r="S68" s="23"/>
      <c r="AG68" s="3">
        <v>56</v>
      </c>
      <c r="AI68" s="23">
        <f t="shared" si="6"/>
        <v>3046073.0688038436</v>
      </c>
      <c r="AJ68" s="44">
        <f t="shared" si="7"/>
        <v>2068869.1547161713</v>
      </c>
      <c r="AL68" s="6">
        <f t="shared" si="8"/>
        <v>3046073.0688038436</v>
      </c>
      <c r="AN68" s="63">
        <f t="shared" si="12"/>
        <v>0</v>
      </c>
      <c r="AO68" s="63">
        <f t="shared" si="13"/>
        <v>0</v>
      </c>
      <c r="AP68" s="16" cm="1">
        <f t="array" ref="AP68">IF(AO68=0,IF(AN68&gt;0,INDEX($AL$13:$AL$610,AN68*12),0),INDEX($AL$13:$AL$610,AN68*12+AO68))</f>
        <v>0</v>
      </c>
      <c r="AQ68" s="16">
        <f t="shared" si="9"/>
        <v>0</v>
      </c>
      <c r="AR68" s="16">
        <f t="shared" si="10"/>
        <v>0</v>
      </c>
      <c r="AS68" s="94">
        <f t="shared" si="11"/>
        <v>0</v>
      </c>
    </row>
    <row r="69" spans="13:45" hidden="1" x14ac:dyDescent="0.25">
      <c r="M69" s="3">
        <v>57</v>
      </c>
      <c r="N69" s="3">
        <f t="shared" si="4"/>
        <v>41078.20855944194</v>
      </c>
      <c r="O69" s="6">
        <f t="shared" si="5"/>
        <v>3116444.6165919197</v>
      </c>
      <c r="P69" s="6"/>
      <c r="S69" s="23"/>
      <c r="AG69" s="3">
        <v>57</v>
      </c>
      <c r="AI69" s="23">
        <f t="shared" si="6"/>
        <v>3116444.6165919197</v>
      </c>
      <c r="AJ69" s="44">
        <f t="shared" si="7"/>
        <v>2116664.963056894</v>
      </c>
      <c r="AL69" s="6">
        <f t="shared" si="8"/>
        <v>3116444.6165919197</v>
      </c>
      <c r="AN69" s="63">
        <f t="shared" si="12"/>
        <v>0</v>
      </c>
      <c r="AO69" s="63">
        <f t="shared" si="13"/>
        <v>0</v>
      </c>
      <c r="AP69" s="16" cm="1">
        <f t="array" ref="AP69">IF(AO69=0,IF(AN69&gt;0,INDEX($AL$13:$AL$610,AN69*12),0),INDEX($AL$13:$AL$610,AN69*12+AO69))</f>
        <v>0</v>
      </c>
      <c r="AQ69" s="16">
        <f t="shared" si="9"/>
        <v>0</v>
      </c>
      <c r="AR69" s="16">
        <f t="shared" si="10"/>
        <v>0</v>
      </c>
      <c r="AS69" s="94">
        <f t="shared" si="11"/>
        <v>0</v>
      </c>
    </row>
    <row r="70" spans="13:45" hidden="1" x14ac:dyDescent="0.25">
      <c r="M70" s="3">
        <v>58</v>
      </c>
      <c r="N70" s="3">
        <f t="shared" si="4"/>
        <v>41078.20855944194</v>
      </c>
      <c r="O70" s="6">
        <f t="shared" si="5"/>
        <v>3187483.9054254433</v>
      </c>
      <c r="P70" s="6"/>
      <c r="S70" s="23"/>
      <c r="AG70" s="3">
        <v>58</v>
      </c>
      <c r="AI70" s="23">
        <f t="shared" si="6"/>
        <v>3187483.9054254433</v>
      </c>
      <c r="AJ70" s="44">
        <f t="shared" si="7"/>
        <v>2164914.2959261029</v>
      </c>
      <c r="AL70" s="6">
        <f t="shared" si="8"/>
        <v>3187483.9054254433</v>
      </c>
      <c r="AN70" s="63">
        <f t="shared" si="12"/>
        <v>0</v>
      </c>
      <c r="AO70" s="63">
        <f t="shared" si="13"/>
        <v>0</v>
      </c>
      <c r="AP70" s="16" cm="1">
        <f t="array" ref="AP70">IF(AO70=0,IF(AN70&gt;0,INDEX($AL$13:$AL$610,AN70*12),0),INDEX($AL$13:$AL$610,AN70*12+AO70))</f>
        <v>0</v>
      </c>
      <c r="AQ70" s="16">
        <f t="shared" si="9"/>
        <v>0</v>
      </c>
      <c r="AR70" s="16">
        <f t="shared" si="10"/>
        <v>0</v>
      </c>
      <c r="AS70" s="94">
        <f t="shared" si="11"/>
        <v>0</v>
      </c>
    </row>
    <row r="71" spans="13:45" hidden="1" x14ac:dyDescent="0.25">
      <c r="M71" s="3">
        <v>59</v>
      </c>
      <c r="N71" s="3">
        <f t="shared" si="4"/>
        <v>41078.20855944194</v>
      </c>
      <c r="O71" s="6">
        <f t="shared" si="5"/>
        <v>3259197.2713609287</v>
      </c>
      <c r="P71" s="6"/>
      <c r="S71" s="23"/>
      <c r="AG71" s="3">
        <v>59</v>
      </c>
      <c r="AI71" s="23">
        <f t="shared" si="6"/>
        <v>3259197.2713609287</v>
      </c>
      <c r="AJ71" s="44">
        <f t="shared" si="7"/>
        <v>2213621.4567241403</v>
      </c>
      <c r="AL71" s="6">
        <f t="shared" si="8"/>
        <v>3259197.2713609287</v>
      </c>
      <c r="AN71" s="63">
        <f t="shared" si="12"/>
        <v>0</v>
      </c>
      <c r="AO71" s="63">
        <f t="shared" si="13"/>
        <v>0</v>
      </c>
      <c r="AP71" s="16" cm="1">
        <f t="array" ref="AP71">IF(AO71=0,IF(AN71&gt;0,INDEX($AL$13:$AL$610,AN71*12),0),INDEX($AL$13:$AL$610,AN71*12+AO71))</f>
        <v>0</v>
      </c>
      <c r="AQ71" s="16">
        <f t="shared" si="9"/>
        <v>0</v>
      </c>
      <c r="AR71" s="16">
        <f t="shared" si="10"/>
        <v>0</v>
      </c>
      <c r="AS71" s="94">
        <f t="shared" si="11"/>
        <v>0</v>
      </c>
    </row>
    <row r="72" spans="13:45" hidden="1" x14ac:dyDescent="0.25">
      <c r="M72" s="3">
        <v>60</v>
      </c>
      <c r="N72" s="3">
        <f t="shared" si="4"/>
        <v>41078.20855944194</v>
      </c>
      <c r="O72" s="6">
        <f t="shared" si="5"/>
        <v>3331591.1105764164</v>
      </c>
      <c r="P72" s="6"/>
      <c r="S72" s="23"/>
      <c r="AG72" s="3">
        <v>60</v>
      </c>
      <c r="AI72" s="23">
        <f t="shared" si="6"/>
        <v>3331591.1105764164</v>
      </c>
      <c r="AJ72" s="44">
        <f t="shared" si="7"/>
        <v>2262790.7896854202</v>
      </c>
      <c r="AL72" s="6">
        <f t="shared" si="8"/>
        <v>3331591.1105764164</v>
      </c>
      <c r="AN72" s="63">
        <f t="shared" si="12"/>
        <v>0</v>
      </c>
      <c r="AO72" s="63">
        <f t="shared" si="13"/>
        <v>0</v>
      </c>
      <c r="AP72" s="16" cm="1">
        <f t="array" ref="AP72">IF(AO72=0,IF(AN72&gt;0,INDEX($AL$13:$AL$610,AN72*12),0),INDEX($AL$13:$AL$610,AN72*12+AO72))</f>
        <v>0</v>
      </c>
      <c r="AQ72" s="16">
        <f t="shared" si="9"/>
        <v>0</v>
      </c>
      <c r="AR72" s="16">
        <f t="shared" si="10"/>
        <v>0</v>
      </c>
      <c r="AS72" s="94">
        <f t="shared" si="11"/>
        <v>0</v>
      </c>
    </row>
    <row r="73" spans="13:45" hidden="1" x14ac:dyDescent="0.25">
      <c r="M73" s="3">
        <v>61</v>
      </c>
      <c r="N73" s="3">
        <f t="shared" si="4"/>
        <v>41078.20855944194</v>
      </c>
      <c r="O73" s="6">
        <f t="shared" si="5"/>
        <v>3404671.8799419589</v>
      </c>
      <c r="P73" s="6"/>
      <c r="S73" s="23"/>
      <c r="AG73" s="3">
        <v>61</v>
      </c>
      <c r="AI73" s="23">
        <f t="shared" si="6"/>
        <v>3404671.8799419589</v>
      </c>
      <c r="AJ73" s="44">
        <f t="shared" si="7"/>
        <v>2312426.6802659011</v>
      </c>
      <c r="AL73" s="6">
        <f t="shared" si="8"/>
        <v>3404671.8799419589</v>
      </c>
    </row>
    <row r="74" spans="13:45" hidden="1" x14ac:dyDescent="0.25">
      <c r="M74" s="3">
        <v>62</v>
      </c>
      <c r="N74" s="3">
        <f t="shared" si="4"/>
        <v>41078.20855944194</v>
      </c>
      <c r="O74" s="6">
        <f t="shared" si="5"/>
        <v>3478446.0975955133</v>
      </c>
      <c r="P74" s="6"/>
      <c r="S74" s="23"/>
      <c r="AG74" s="3">
        <v>62</v>
      </c>
      <c r="AI74" s="23">
        <f t="shared" si="6"/>
        <v>3478446.0975955133</v>
      </c>
      <c r="AJ74" s="44">
        <f t="shared" si="7"/>
        <v>2362533.5555342254</v>
      </c>
      <c r="AL74" s="6">
        <f t="shared" si="8"/>
        <v>3478446.0975955133</v>
      </c>
    </row>
    <row r="75" spans="13:45" hidden="1" x14ac:dyDescent="0.25">
      <c r="M75" s="3">
        <v>63</v>
      </c>
      <c r="N75" s="3">
        <f t="shared" si="4"/>
        <v>41078.20855944194</v>
      </c>
      <c r="O75" s="6">
        <f t="shared" si="5"/>
        <v>3552920.3435242921</v>
      </c>
      <c r="P75" s="6"/>
      <c r="S75" s="23"/>
      <c r="AG75" s="3">
        <v>63</v>
      </c>
      <c r="AI75" s="23">
        <f t="shared" si="6"/>
        <v>3552920.3435242921</v>
      </c>
      <c r="AJ75" s="44">
        <f t="shared" si="7"/>
        <v>2413115.8845665692</v>
      </c>
      <c r="AL75" s="6">
        <f t="shared" si="8"/>
        <v>3552920.3435242921</v>
      </c>
    </row>
    <row r="76" spans="13:45" hidden="1" x14ac:dyDescent="0.25">
      <c r="M76" s="3">
        <v>64</v>
      </c>
      <c r="N76" s="3">
        <f t="shared" si="4"/>
        <v>41078.20855944194</v>
      </c>
      <c r="O76" s="6">
        <f t="shared" si="5"/>
        <v>3628101.2601516484</v>
      </c>
      <c r="P76" s="6"/>
      <c r="S76" s="23"/>
      <c r="AG76" s="3">
        <v>64</v>
      </c>
      <c r="AI76" s="23">
        <f t="shared" si="6"/>
        <v>3628101.2601516484</v>
      </c>
      <c r="AJ76" s="44">
        <f t="shared" si="7"/>
        <v>2464178.1788452496</v>
      </c>
      <c r="AL76" s="6">
        <f t="shared" si="8"/>
        <v>3628101.2601516484</v>
      </c>
    </row>
    <row r="77" spans="13:45" hidden="1" x14ac:dyDescent="0.25">
      <c r="M77" s="3">
        <v>65</v>
      </c>
      <c r="N77" s="3">
        <f t="shared" ref="N77:N140" si="14">IF(M77&lt;=IF($T$6=1,$O$8,ROUNDUP($J$8,0)),SIPAmount,0)</f>
        <v>41078.20855944194</v>
      </c>
      <c r="O77" s="6">
        <f t="shared" ref="O77:O140" si="15">FV(SIPRate,M77,-N77,0,1)</f>
        <v>3703995.5529295136</v>
      </c>
      <c r="P77" s="6"/>
      <c r="S77" s="23"/>
      <c r="AG77" s="3">
        <v>65</v>
      </c>
      <c r="AI77" s="23">
        <f t="shared" si="6"/>
        <v>3703995.5529295136</v>
      </c>
      <c r="AJ77" s="44">
        <f t="shared" si="7"/>
        <v>2515724.9926611055</v>
      </c>
      <c r="AL77" s="6">
        <f t="shared" si="8"/>
        <v>3703995.5529295136</v>
      </c>
    </row>
    <row r="78" spans="13:45" hidden="1" x14ac:dyDescent="0.25">
      <c r="M78" s="3">
        <v>66</v>
      </c>
      <c r="N78" s="3">
        <f t="shared" si="14"/>
        <v>41078.20855944194</v>
      </c>
      <c r="O78" s="6">
        <f t="shared" si="15"/>
        <v>3780609.9909364646</v>
      </c>
      <c r="P78" s="6"/>
      <c r="S78" s="23"/>
      <c r="AG78" s="3">
        <v>66</v>
      </c>
      <c r="AI78" s="23">
        <f t="shared" ref="AI78:AI141" si="16">IF(AG78&lt;=$O$8,FV($O$3,AG78,-$O$5,0,1),0)</f>
        <v>3780609.9909364646</v>
      </c>
      <c r="AJ78" s="44">
        <f t="shared" ref="AJ78:AJ141" si="17">IF(OR(AJ77=0,AJ77&gt;=$C$15),0,FV($O$3,AG78,-$C$17,0,1))</f>
        <v>2567760.923519697</v>
      </c>
      <c r="AL78" s="6">
        <f t="shared" ref="AL78:AL141" si="18">O78</f>
        <v>3780609.9909364646</v>
      </c>
    </row>
    <row r="79" spans="13:45" hidden="1" x14ac:dyDescent="0.25">
      <c r="M79" s="3">
        <v>67</v>
      </c>
      <c r="N79" s="3">
        <f t="shared" si="14"/>
        <v>41078.20855944194</v>
      </c>
      <c r="O79" s="6">
        <f t="shared" si="15"/>
        <v>3857951.4074814641</v>
      </c>
      <c r="P79" s="6"/>
      <c r="S79" s="23"/>
      <c r="AG79" s="3">
        <v>67</v>
      </c>
      <c r="AI79" s="23">
        <f t="shared" si="16"/>
        <v>3857951.4074814641</v>
      </c>
      <c r="AJ79" s="44">
        <f t="shared" si="17"/>
        <v>2620290.612551365</v>
      </c>
      <c r="AL79" s="6">
        <f t="shared" si="18"/>
        <v>3857951.4074814641</v>
      </c>
    </row>
    <row r="80" spans="13:45" hidden="1" x14ac:dyDescent="0.25">
      <c r="M80" s="3">
        <v>68</v>
      </c>
      <c r="N80" s="3">
        <f t="shared" si="14"/>
        <v>41078.20855944194</v>
      </c>
      <c r="O80" s="6">
        <f t="shared" si="15"/>
        <v>3936026.7007133248</v>
      </c>
      <c r="P80" s="6"/>
      <c r="S80" s="23"/>
      <c r="AG80" s="3">
        <v>68</v>
      </c>
      <c r="AI80" s="23">
        <f t="shared" si="16"/>
        <v>3936026.7007133248</v>
      </c>
      <c r="AJ80" s="44">
        <f t="shared" si="17"/>
        <v>2673318.7449251711</v>
      </c>
      <c r="AL80" s="6">
        <f t="shared" si="18"/>
        <v>3936026.7007133248</v>
      </c>
    </row>
    <row r="81" spans="13:38" hidden="1" x14ac:dyDescent="0.25">
      <c r="M81" s="3">
        <v>69</v>
      </c>
      <c r="N81" s="3">
        <f t="shared" si="14"/>
        <v>41078.20855944194</v>
      </c>
      <c r="O81" s="6">
        <f t="shared" si="15"/>
        <v>4014842.8342359695</v>
      </c>
      <c r="P81" s="6"/>
      <c r="S81" s="23"/>
      <c r="AG81" s="3">
        <v>69</v>
      </c>
      <c r="AI81" s="23">
        <f t="shared" si="16"/>
        <v>4014842.8342359695</v>
      </c>
      <c r="AJ81" s="44">
        <f t="shared" si="17"/>
        <v>2726850.0502667804</v>
      </c>
      <c r="AL81" s="6">
        <f t="shared" si="18"/>
        <v>4014842.8342359695</v>
      </c>
    </row>
    <row r="82" spans="13:38" hidden="1" x14ac:dyDescent="0.25">
      <c r="M82" s="3">
        <v>70</v>
      </c>
      <c r="N82" s="3">
        <f t="shared" si="14"/>
        <v>41078.20855944194</v>
      </c>
      <c r="O82" s="6">
        <f t="shared" si="15"/>
        <v>4094406.8377295169</v>
      </c>
      <c r="P82" s="6"/>
      <c r="S82" s="23"/>
      <c r="AG82" s="3">
        <v>70</v>
      </c>
      <c r="AI82" s="23">
        <f t="shared" si="16"/>
        <v>4094406.8377295169</v>
      </c>
      <c r="AJ82" s="44">
        <f t="shared" si="17"/>
        <v>2780889.3030802952</v>
      </c>
      <c r="AL82" s="6">
        <f t="shared" si="18"/>
        <v>4094406.8377295169</v>
      </c>
    </row>
    <row r="83" spans="13:38" hidden="1" x14ac:dyDescent="0.25">
      <c r="M83" s="3">
        <v>71</v>
      </c>
      <c r="N83" s="3">
        <f t="shared" si="14"/>
        <v>41078.20855944194</v>
      </c>
      <c r="O83" s="6">
        <f t="shared" si="15"/>
        <v>4174725.8075772598</v>
      </c>
      <c r="P83" s="6"/>
      <c r="S83" s="23"/>
      <c r="AG83" s="3">
        <v>71</v>
      </c>
      <c r="AI83" s="23">
        <f t="shared" si="16"/>
        <v>4174725.8075772598</v>
      </c>
      <c r="AJ83" s="44">
        <f t="shared" si="17"/>
        <v>2835441.3231740962</v>
      </c>
      <c r="AL83" s="6">
        <f t="shared" si="18"/>
        <v>4174725.8075772598</v>
      </c>
    </row>
    <row r="84" spans="13:38" hidden="1" x14ac:dyDescent="0.25">
      <c r="M84" s="3">
        <v>72</v>
      </c>
      <c r="N84" s="3">
        <f t="shared" si="14"/>
        <v>41078.20855944194</v>
      </c>
      <c r="O84" s="6">
        <f t="shared" si="15"/>
        <v>4255806.9074986055</v>
      </c>
      <c r="P84" s="6"/>
      <c r="S84" s="23"/>
      <c r="AG84" s="3">
        <v>72</v>
      </c>
      <c r="AI84" s="23">
        <f t="shared" si="16"/>
        <v>4255806.9074986055</v>
      </c>
      <c r="AJ84" s="44">
        <f t="shared" si="17"/>
        <v>2890510.9760907297</v>
      </c>
      <c r="AL84" s="6">
        <f t="shared" si="18"/>
        <v>4255806.9074986055</v>
      </c>
    </row>
    <row r="85" spans="13:38" hidden="1" x14ac:dyDescent="0.25">
      <c r="M85" s="3">
        <v>73</v>
      </c>
      <c r="N85" s="3">
        <f t="shared" si="14"/>
        <v>41078.20855944194</v>
      </c>
      <c r="O85" s="6">
        <f t="shared" si="15"/>
        <v>4337657.3691880126</v>
      </c>
      <c r="P85" s="6"/>
      <c r="S85" s="23"/>
      <c r="AG85" s="3">
        <v>73</v>
      </c>
      <c r="AI85" s="23">
        <f t="shared" si="16"/>
        <v>4337657.3691880126</v>
      </c>
      <c r="AJ85" s="44">
        <f t="shared" si="17"/>
        <v>2946103.1735408683</v>
      </c>
      <c r="AL85" s="6">
        <f t="shared" si="18"/>
        <v>4337657.3691880126</v>
      </c>
    </row>
    <row r="86" spans="13:38" hidden="1" x14ac:dyDescent="0.25">
      <c r="M86" s="3">
        <v>74</v>
      </c>
      <c r="N86" s="3">
        <f t="shared" si="14"/>
        <v>41078.20855944194</v>
      </c>
      <c r="O86" s="6">
        <f t="shared" si="15"/>
        <v>4420284.4929599939</v>
      </c>
      <c r="P86" s="6"/>
      <c r="S86" s="23"/>
      <c r="AG86" s="3">
        <v>74</v>
      </c>
      <c r="AI86" s="23">
        <f t="shared" si="16"/>
        <v>4420284.4929599939</v>
      </c>
      <c r="AJ86" s="44">
        <f t="shared" si="17"/>
        <v>3002222.8738413914</v>
      </c>
      <c r="AL86" s="6">
        <f t="shared" si="18"/>
        <v>4420284.4929599939</v>
      </c>
    </row>
    <row r="87" spans="13:38" hidden="1" x14ac:dyDescent="0.25">
      <c r="M87" s="3">
        <v>75</v>
      </c>
      <c r="N87" s="3">
        <f t="shared" si="14"/>
        <v>41078.20855944194</v>
      </c>
      <c r="O87" s="6">
        <f t="shared" si="15"/>
        <v>4503695.6484002257</v>
      </c>
      <c r="P87" s="6"/>
      <c r="S87" s="23"/>
      <c r="AG87" s="3">
        <v>75</v>
      </c>
      <c r="AI87" s="23">
        <f t="shared" si="16"/>
        <v>4503695.6484002257</v>
      </c>
      <c r="AJ87" s="44">
        <f t="shared" si="17"/>
        <v>3058875.0823576166</v>
      </c>
      <c r="AL87" s="6">
        <f t="shared" si="18"/>
        <v>4503695.6484002257</v>
      </c>
    </row>
    <row r="88" spans="13:38" hidden="1" x14ac:dyDescent="0.25">
      <c r="M88" s="3">
        <v>76</v>
      </c>
      <c r="N88" s="3">
        <f t="shared" si="14"/>
        <v>41078.20855944194</v>
      </c>
      <c r="O88" s="6">
        <f t="shared" si="15"/>
        <v>4587898.2750228653</v>
      </c>
      <c r="P88" s="6"/>
      <c r="S88" s="23"/>
      <c r="AG88" s="3">
        <v>76</v>
      </c>
      <c r="AI88" s="23">
        <f t="shared" si="16"/>
        <v>4587898.2750228653</v>
      </c>
      <c r="AJ88" s="44">
        <f t="shared" si="17"/>
        <v>3116064.8519497388</v>
      </c>
      <c r="AL88" s="6">
        <f t="shared" si="18"/>
        <v>4587898.2750228653</v>
      </c>
    </row>
    <row r="89" spans="13:38" hidden="1" x14ac:dyDescent="0.25">
      <c r="M89" s="3">
        <v>77</v>
      </c>
      <c r="N89" s="3">
        <f t="shared" si="14"/>
        <v>41078.20855944194</v>
      </c>
      <c r="O89" s="6">
        <f t="shared" si="15"/>
        <v>4672899.882934073</v>
      </c>
      <c r="P89" s="6"/>
      <c r="S89" s="23"/>
      <c r="AG89" s="3">
        <v>77</v>
      </c>
      <c r="AI89" s="23">
        <f t="shared" si="16"/>
        <v>4672899.882934073</v>
      </c>
      <c r="AJ89" s="44">
        <f t="shared" si="17"/>
        <v>3173797.2834234959</v>
      </c>
      <c r="AL89" s="6">
        <f t="shared" si="18"/>
        <v>4672899.882934073</v>
      </c>
    </row>
    <row r="90" spans="13:38" hidden="1" x14ac:dyDescent="0.25">
      <c r="M90" s="3">
        <v>78</v>
      </c>
      <c r="N90" s="3">
        <f t="shared" si="14"/>
        <v>41078.20855944194</v>
      </c>
      <c r="O90" s="6">
        <f t="shared" si="15"/>
        <v>4758708.0535018593</v>
      </c>
      <c r="P90" s="6"/>
      <c r="S90" s="23"/>
      <c r="AG90" s="3">
        <v>78</v>
      </c>
      <c r="AI90" s="23">
        <f t="shared" si="16"/>
        <v>4758708.0535018593</v>
      </c>
      <c r="AJ90" s="44">
        <f t="shared" si="17"/>
        <v>3232077.5259851199</v>
      </c>
      <c r="AL90" s="6">
        <f t="shared" si="18"/>
        <v>4758708.0535018593</v>
      </c>
    </row>
    <row r="91" spans="13:38" hidden="1" x14ac:dyDescent="0.25">
      <c r="M91" s="3">
        <v>79</v>
      </c>
      <c r="N91" s="3">
        <f t="shared" si="14"/>
        <v>41078.20855944194</v>
      </c>
      <c r="O91" s="6">
        <f t="shared" si="15"/>
        <v>4845330.4400322586</v>
      </c>
      <c r="P91" s="6"/>
      <c r="S91" s="23"/>
      <c r="AG91" s="3">
        <v>79</v>
      </c>
      <c r="AI91" s="23">
        <f t="shared" si="16"/>
        <v>4845330.4400322586</v>
      </c>
      <c r="AJ91" s="44">
        <f t="shared" si="17"/>
        <v>3290910.7777005876</v>
      </c>
      <c r="AL91" s="6">
        <f t="shared" si="18"/>
        <v>4845330.4400322586</v>
      </c>
    </row>
    <row r="92" spans="13:38" hidden="1" x14ac:dyDescent="0.25">
      <c r="M92" s="3">
        <v>80</v>
      </c>
      <c r="N92" s="3">
        <f t="shared" si="14"/>
        <v>41078.20855944194</v>
      </c>
      <c r="O92" s="6">
        <f t="shared" si="15"/>
        <v>4932774.7684519431</v>
      </c>
      <c r="P92" s="6"/>
      <c r="S92" s="23"/>
      <c r="AG92" s="3">
        <v>80</v>
      </c>
      <c r="AI92" s="23">
        <f t="shared" si="16"/>
        <v>4932774.7684519431</v>
      </c>
      <c r="AJ92" s="44">
        <f t="shared" si="17"/>
        <v>3350302.2859592512</v>
      </c>
      <c r="AL92" s="6">
        <f t="shared" si="18"/>
        <v>4932774.7684519431</v>
      </c>
    </row>
    <row r="93" spans="13:38" hidden="1" x14ac:dyDescent="0.25">
      <c r="M93" s="3">
        <v>81</v>
      </c>
      <c r="N93" s="3">
        <f t="shared" si="14"/>
        <v>41078.20855944194</v>
      </c>
      <c r="O93" s="6">
        <f t="shared" si="15"/>
        <v>5021048.8379973043</v>
      </c>
      <c r="P93" s="6"/>
      <c r="S93" s="23"/>
      <c r="AG93" s="3">
        <v>81</v>
      </c>
      <c r="AI93" s="23">
        <f t="shared" si="16"/>
        <v>5021048.8379973043</v>
      </c>
      <c r="AJ93" s="44">
        <f t="shared" si="17"/>
        <v>3410257.3479418531</v>
      </c>
      <c r="AL93" s="6">
        <f t="shared" si="18"/>
        <v>5021048.8379973043</v>
      </c>
    </row>
    <row r="94" spans="13:38" hidden="1" x14ac:dyDescent="0.25">
      <c r="M94" s="3">
        <v>82</v>
      </c>
      <c r="N94" s="3">
        <f t="shared" si="14"/>
        <v>41078.20855944194</v>
      </c>
      <c r="O94" s="6">
        <f t="shared" si="15"/>
        <v>5110160.521910076</v>
      </c>
      <c r="P94" s="6"/>
      <c r="S94" s="23"/>
      <c r="AG94" s="3">
        <v>82</v>
      </c>
      <c r="AI94" s="23">
        <f t="shared" si="16"/>
        <v>5110160.521910076</v>
      </c>
      <c r="AJ94" s="44">
        <f t="shared" si="17"/>
        <v>3470781.3110929881</v>
      </c>
      <c r="AL94" s="6">
        <f t="shared" si="18"/>
        <v>5110160.521910076</v>
      </c>
    </row>
    <row r="95" spans="13:38" hidden="1" x14ac:dyDescent="0.25">
      <c r="M95" s="3">
        <v>83</v>
      </c>
      <c r="N95" s="3">
        <f t="shared" si="14"/>
        <v>41078.20855944194</v>
      </c>
      <c r="O95" s="6">
        <f t="shared" si="15"/>
        <v>5200117.7681395477</v>
      </c>
      <c r="P95" s="6"/>
      <c r="S95" s="23"/>
      <c r="AG95" s="3">
        <v>83</v>
      </c>
      <c r="AI95" s="23">
        <f t="shared" si="16"/>
        <v>5200117.7681395477</v>
      </c>
      <c r="AJ95" s="44">
        <f t="shared" si="17"/>
        <v>3531879.5735980454</v>
      </c>
      <c r="AL95" s="6">
        <f t="shared" si="18"/>
        <v>5200117.7681395477</v>
      </c>
    </row>
    <row r="96" spans="13:38" hidden="1" x14ac:dyDescent="0.25">
      <c r="M96" s="3">
        <v>84</v>
      </c>
      <c r="N96" s="3">
        <f t="shared" si="14"/>
        <v>41078.20855944194</v>
      </c>
      <c r="O96" s="6">
        <f t="shared" si="15"/>
        <v>5290928.600051458</v>
      </c>
      <c r="P96" s="6"/>
      <c r="S96" s="23"/>
      <c r="AG96" s="3">
        <v>84</v>
      </c>
      <c r="AI96" s="23">
        <f t="shared" si="16"/>
        <v>5290928.600051458</v>
      </c>
      <c r="AJ96" s="44">
        <f t="shared" si="17"/>
        <v>3593557.5848646769</v>
      </c>
      <c r="AL96" s="6">
        <f t="shared" si="18"/>
        <v>5290928.600051458</v>
      </c>
    </row>
    <row r="97" spans="13:38" hidden="1" x14ac:dyDescent="0.25">
      <c r="M97" s="3">
        <v>85</v>
      </c>
      <c r="N97" s="3">
        <f t="shared" si="14"/>
        <v>41078.20855944194</v>
      </c>
      <c r="O97" s="6">
        <f t="shared" si="15"/>
        <v>5382601.1171435956</v>
      </c>
      <c r="P97" s="6"/>
      <c r="S97" s="23"/>
      <c r="AG97" s="3">
        <v>85</v>
      </c>
      <c r="AI97" s="23">
        <f t="shared" si="16"/>
        <v>5382601.1171435956</v>
      </c>
      <c r="AJ97" s="44">
        <f t="shared" si="17"/>
        <v>3655820.846008833</v>
      </c>
      <c r="AL97" s="6">
        <f t="shared" si="18"/>
        <v>5382601.1171435956</v>
      </c>
    </row>
    <row r="98" spans="13:38" hidden="1" x14ac:dyDescent="0.25">
      <c r="M98" s="3">
        <v>86</v>
      </c>
      <c r="N98" s="3">
        <f t="shared" si="14"/>
        <v>41078.20855944194</v>
      </c>
      <c r="O98" s="6">
        <f t="shared" si="15"/>
        <v>5475143.4957682146</v>
      </c>
      <c r="P98" s="6"/>
      <c r="S98" s="23"/>
      <c r="AG98" s="3">
        <v>86</v>
      </c>
      <c r="AI98" s="23">
        <f t="shared" si="16"/>
        <v>5475143.4957682146</v>
      </c>
      <c r="AJ98" s="44">
        <f t="shared" si="17"/>
        <v>3718674.9103454188</v>
      </c>
      <c r="AL98" s="6">
        <f t="shared" si="18"/>
        <v>5475143.4957682146</v>
      </c>
    </row>
    <row r="99" spans="13:38" hidden="1" x14ac:dyDescent="0.25">
      <c r="M99" s="3">
        <v>87</v>
      </c>
      <c r="N99" s="3">
        <f t="shared" si="14"/>
        <v>41078.20855944194</v>
      </c>
      <c r="O99" s="6">
        <f t="shared" si="15"/>
        <v>5568563.9898612723</v>
      </c>
      <c r="P99" s="6"/>
      <c r="S99" s="23"/>
      <c r="AG99" s="3">
        <v>87</v>
      </c>
      <c r="AI99" s="23">
        <f t="shared" si="16"/>
        <v>5568563.9898612723</v>
      </c>
      <c r="AJ99" s="44">
        <f t="shared" si="17"/>
        <v>3782125.3838835899</v>
      </c>
      <c r="AL99" s="6">
        <f t="shared" si="18"/>
        <v>5568563.9898612723</v>
      </c>
    </row>
    <row r="100" spans="13:38" hidden="1" x14ac:dyDescent="0.25">
      <c r="M100" s="3">
        <v>88</v>
      </c>
      <c r="N100" s="3">
        <f t="shared" si="14"/>
        <v>41078.20855944194</v>
      </c>
      <c r="O100" s="6">
        <f t="shared" si="15"/>
        <v>5662870.9316786267</v>
      </c>
      <c r="P100" s="6"/>
      <c r="S100" s="23"/>
      <c r="AG100" s="3">
        <v>88</v>
      </c>
      <c r="AI100" s="23">
        <f t="shared" si="16"/>
        <v>5662870.9316786267</v>
      </c>
      <c r="AJ100" s="44">
        <f t="shared" si="17"/>
        <v>3846177.9258267656</v>
      </c>
      <c r="AL100" s="6">
        <f t="shared" si="18"/>
        <v>5662870.9316786267</v>
      </c>
    </row>
    <row r="101" spans="13:38" hidden="1" x14ac:dyDescent="0.25">
      <c r="M101" s="3">
        <v>89</v>
      </c>
      <c r="N101" s="3">
        <f t="shared" si="14"/>
        <v>41078.20855944194</v>
      </c>
      <c r="O101" s="6">
        <f t="shared" si="15"/>
        <v>5758072.7325391816</v>
      </c>
      <c r="P101" s="6"/>
      <c r="S101" s="23"/>
      <c r="AG101" s="3">
        <v>89</v>
      </c>
      <c r="AI101" s="23">
        <f t="shared" si="16"/>
        <v>5758072.7325391816</v>
      </c>
      <c r="AJ101" s="44">
        <f t="shared" si="17"/>
        <v>3910838.249077375</v>
      </c>
      <c r="AL101" s="6">
        <f t="shared" si="18"/>
        <v>5758072.7325391816</v>
      </c>
    </row>
    <row r="102" spans="13:38" hidden="1" x14ac:dyDescent="0.25">
      <c r="M102" s="3">
        <v>90</v>
      </c>
      <c r="N102" s="3">
        <f t="shared" si="14"/>
        <v>41078.20855944194</v>
      </c>
      <c r="O102" s="6">
        <f t="shared" si="15"/>
        <v>5854177.8835751023</v>
      </c>
      <c r="P102" s="6"/>
      <c r="S102" s="23"/>
      <c r="AG102" s="3">
        <v>90</v>
      </c>
      <c r="AI102" s="23">
        <f t="shared" si="16"/>
        <v>5854177.8835751023</v>
      </c>
      <c r="AJ102" s="44">
        <f t="shared" si="17"/>
        <v>3976112.1207463932</v>
      </c>
      <c r="AL102" s="6">
        <f t="shared" si="18"/>
        <v>5854177.8835751023</v>
      </c>
    </row>
    <row r="103" spans="13:38" hidden="1" x14ac:dyDescent="0.25">
      <c r="M103" s="3">
        <v>91</v>
      </c>
      <c r="N103" s="3">
        <f t="shared" si="14"/>
        <v>41078.20855944194</v>
      </c>
      <c r="O103" s="6">
        <f t="shared" si="15"/>
        <v>5951194.9564891513</v>
      </c>
      <c r="P103" s="6"/>
      <c r="S103" s="23"/>
      <c r="AG103" s="3">
        <v>91</v>
      </c>
      <c r="AI103" s="23">
        <f t="shared" si="16"/>
        <v>5951194.9564891513</v>
      </c>
      <c r="AJ103" s="44">
        <f t="shared" si="17"/>
        <v>4042005.3626677189</v>
      </c>
      <c r="AL103" s="6">
        <f t="shared" si="18"/>
        <v>5951194.9564891513</v>
      </c>
    </row>
    <row r="104" spans="13:38" hidden="1" x14ac:dyDescent="0.25">
      <c r="M104" s="3">
        <v>92</v>
      </c>
      <c r="N104" s="3">
        <f t="shared" si="14"/>
        <v>41078.20855944194</v>
      </c>
      <c r="O104" s="6">
        <f t="shared" si="15"/>
        <v>6049132.6043191962</v>
      </c>
      <c r="P104" s="6"/>
      <c r="S104" s="23"/>
      <c r="AG104" s="3">
        <v>92</v>
      </c>
      <c r="AI104" s="23">
        <f t="shared" si="16"/>
        <v>6049132.6043191962</v>
      </c>
      <c r="AJ104" s="44">
        <f t="shared" si="17"/>
        <v>4108523.851917421</v>
      </c>
      <c r="AL104" s="6">
        <f t="shared" si="18"/>
        <v>6049132.6043191962</v>
      </c>
    </row>
    <row r="105" spans="13:38" hidden="1" x14ac:dyDescent="0.25">
      <c r="M105" s="3">
        <v>93</v>
      </c>
      <c r="N105" s="3">
        <f t="shared" si="14"/>
        <v>41078.20855944194</v>
      </c>
      <c r="O105" s="6">
        <f t="shared" si="15"/>
        <v>6147999.5622100001</v>
      </c>
      <c r="P105" s="6"/>
      <c r="S105" s="23"/>
      <c r="AG105" s="3">
        <v>93</v>
      </c>
      <c r="AI105" s="23">
        <f t="shared" si="16"/>
        <v>6147999.5622100001</v>
      </c>
      <c r="AJ105" s="44">
        <f t="shared" si="17"/>
        <v>4175673.5213379343</v>
      </c>
      <c r="AL105" s="6">
        <f t="shared" si="18"/>
        <v>6147999.5622100001</v>
      </c>
    </row>
    <row r="106" spans="13:38" hidden="1" x14ac:dyDescent="0.25">
      <c r="M106" s="3">
        <v>94</v>
      </c>
      <c r="N106" s="3">
        <f t="shared" si="14"/>
        <v>41078.20855944194</v>
      </c>
      <c r="O106" s="6">
        <f t="shared" si="15"/>
        <v>6247804.648192307</v>
      </c>
      <c r="P106" s="6"/>
      <c r="S106" s="23"/>
      <c r="AG106" s="3">
        <v>94</v>
      </c>
      <c r="AI106" s="23">
        <f t="shared" si="16"/>
        <v>6247804.648192307</v>
      </c>
      <c r="AJ106" s="44">
        <f t="shared" si="17"/>
        <v>4243460.3600672083</v>
      </c>
      <c r="AL106" s="6">
        <f t="shared" si="18"/>
        <v>6247804.648192307</v>
      </c>
    </row>
    <row r="107" spans="13:38" hidden="1" x14ac:dyDescent="0.25">
      <c r="M107" s="3">
        <v>95</v>
      </c>
      <c r="N107" s="3">
        <f t="shared" si="14"/>
        <v>41078.20855944194</v>
      </c>
      <c r="O107" s="6">
        <f t="shared" si="15"/>
        <v>6348556.7639693161</v>
      </c>
      <c r="P107" s="6"/>
      <c r="S107" s="23"/>
      <c r="AG107" s="3">
        <v>95</v>
      </c>
      <c r="AI107" s="23">
        <f t="shared" si="16"/>
        <v>6348556.7639693161</v>
      </c>
      <c r="AJ107" s="44">
        <f t="shared" si="17"/>
        <v>4311890.4140728721</v>
      </c>
      <c r="AL107" s="6">
        <f t="shared" si="18"/>
        <v>6348556.7639693161</v>
      </c>
    </row>
    <row r="108" spans="13:38" hidden="1" x14ac:dyDescent="0.25">
      <c r="M108" s="3">
        <v>96</v>
      </c>
      <c r="N108" s="3">
        <f t="shared" si="14"/>
        <v>41078.20855944194</v>
      </c>
      <c r="O108" s="6">
        <f t="shared" si="15"/>
        <v>6450264.8957106546</v>
      </c>
      <c r="P108" s="6"/>
      <c r="S108" s="23"/>
      <c r="AG108" s="3">
        <v>96</v>
      </c>
      <c r="AI108" s="23">
        <f t="shared" si="16"/>
        <v>6450264.8957106546</v>
      </c>
      <c r="AJ108" s="44">
        <f t="shared" si="17"/>
        <v>4380969.7866914989</v>
      </c>
      <c r="AL108" s="6">
        <f t="shared" si="18"/>
        <v>6450264.8957106546</v>
      </c>
    </row>
    <row r="109" spans="13:38" hidden="1" x14ac:dyDescent="0.25">
      <c r="M109" s="3">
        <v>97</v>
      </c>
      <c r="N109" s="3">
        <f t="shared" si="14"/>
        <v>41078.20855944194</v>
      </c>
      <c r="O109" s="6">
        <f t="shared" si="15"/>
        <v>6552938.1148538468</v>
      </c>
      <c r="P109" s="6"/>
      <c r="S109" s="23"/>
      <c r="AG109" s="3">
        <v>97</v>
      </c>
      <c r="AI109" s="23">
        <f t="shared" si="16"/>
        <v>6552938.1148538468</v>
      </c>
      <c r="AJ109" s="44">
        <f t="shared" si="17"/>
        <v>4450704.6391729526</v>
      </c>
      <c r="AL109" s="6">
        <f t="shared" si="18"/>
        <v>6552938.1148538468</v>
      </c>
    </row>
    <row r="110" spans="13:38" hidden="1" x14ac:dyDescent="0.25">
      <c r="M110" s="3">
        <v>98</v>
      </c>
      <c r="N110" s="3">
        <f t="shared" si="14"/>
        <v>41078.20855944194</v>
      </c>
      <c r="O110" s="6">
        <f t="shared" si="15"/>
        <v>6656585.5789134204</v>
      </c>
      <c r="P110" s="6"/>
      <c r="S110" s="23"/>
      <c r="AG110" s="3">
        <v>98</v>
      </c>
      <c r="AI110" s="23">
        <f t="shared" si="16"/>
        <v>6656585.5789134204</v>
      </c>
      <c r="AJ110" s="44">
        <f t="shared" si="17"/>
        <v>4521101.1912299292</v>
      </c>
      <c r="AL110" s="6">
        <f t="shared" si="18"/>
        <v>6656585.5789134204</v>
      </c>
    </row>
    <row r="111" spans="13:38" hidden="1" x14ac:dyDescent="0.25">
      <c r="M111" s="3">
        <v>99</v>
      </c>
      <c r="N111" s="3">
        <f t="shared" si="14"/>
        <v>41078.20855944194</v>
      </c>
      <c r="O111" s="6">
        <f t="shared" si="15"/>
        <v>6761216.5322976476</v>
      </c>
      <c r="P111" s="6"/>
      <c r="S111" s="23"/>
      <c r="AG111" s="3">
        <v>99</v>
      </c>
      <c r="AI111" s="23">
        <f t="shared" si="16"/>
        <v>6761216.5322976476</v>
      </c>
      <c r="AJ111" s="44">
        <f t="shared" si="17"/>
        <v>4592165.7215926815</v>
      </c>
      <c r="AL111" s="6">
        <f t="shared" si="18"/>
        <v>6761216.5322976476</v>
      </c>
    </row>
    <row r="112" spans="13:38" hidden="1" x14ac:dyDescent="0.25">
      <c r="M112" s="3">
        <v>100</v>
      </c>
      <c r="N112" s="3">
        <f t="shared" si="14"/>
        <v>41078.20855944194</v>
      </c>
      <c r="O112" s="6">
        <f t="shared" si="15"/>
        <v>6866840.3071330879</v>
      </c>
      <c r="P112" s="6"/>
      <c r="S112" s="23"/>
      <c r="AG112" s="3">
        <v>100</v>
      </c>
      <c r="AI112" s="23">
        <f t="shared" si="16"/>
        <v>6866840.3071330879</v>
      </c>
      <c r="AJ112" s="44">
        <f t="shared" si="17"/>
        <v>4663904.5685690409</v>
      </c>
      <c r="AL112" s="6">
        <f t="shared" si="18"/>
        <v>6866840.3071330879</v>
      </c>
    </row>
    <row r="113" spans="13:38" hidden="1" x14ac:dyDescent="0.25">
      <c r="M113" s="3">
        <v>101</v>
      </c>
      <c r="N113" s="3">
        <f t="shared" si="14"/>
        <v>41078.20855944194</v>
      </c>
      <c r="O113" s="6">
        <f t="shared" si="15"/>
        <v>6973466.324096906</v>
      </c>
      <c r="P113" s="6"/>
      <c r="S113" s="23"/>
      <c r="AG113" s="3">
        <v>101</v>
      </c>
      <c r="AI113" s="23">
        <f t="shared" si="16"/>
        <v>6973466.324096906</v>
      </c>
      <c r="AJ113" s="44">
        <f t="shared" si="17"/>
        <v>4736324.1306097219</v>
      </c>
      <c r="AL113" s="6">
        <f t="shared" si="18"/>
        <v>6973466.324096906</v>
      </c>
    </row>
    <row r="114" spans="13:38" hidden="1" x14ac:dyDescent="0.25">
      <c r="M114" s="3">
        <v>102</v>
      </c>
      <c r="N114" s="3">
        <f t="shared" si="14"/>
        <v>41078.20855944194</v>
      </c>
      <c r="O114" s="6">
        <f t="shared" si="15"/>
        <v>7081104.0932571394</v>
      </c>
      <c r="P114" s="6"/>
      <c r="S114" s="23"/>
      <c r="U114" s="23"/>
      <c r="V114" s="23"/>
      <c r="AG114" s="3">
        <v>102</v>
      </c>
      <c r="AI114" s="23">
        <f t="shared" si="16"/>
        <v>7081104.0932571394</v>
      </c>
      <c r="AJ114" s="44">
        <f t="shared" si="17"/>
        <v>4809430.8668790245</v>
      </c>
      <c r="AL114" s="6">
        <f t="shared" si="18"/>
        <v>7081104.0932571394</v>
      </c>
    </row>
    <row r="115" spans="13:38" hidden="1" x14ac:dyDescent="0.25">
      <c r="M115" s="3">
        <v>103</v>
      </c>
      <c r="N115" s="3">
        <f t="shared" si="14"/>
        <v>41078.20855944194</v>
      </c>
      <c r="O115" s="6">
        <f t="shared" si="15"/>
        <v>7189763.2149208719</v>
      </c>
      <c r="P115" s="6"/>
      <c r="S115" s="23"/>
      <c r="T115" s="32"/>
      <c r="U115" s="23"/>
      <c r="V115" s="23"/>
      <c r="AG115" s="3">
        <v>103</v>
      </c>
      <c r="AI115" s="23">
        <f t="shared" si="16"/>
        <v>7189763.2149208719</v>
      </c>
      <c r="AJ115" s="44">
        <f t="shared" si="17"/>
        <v>4883231.2978309067</v>
      </c>
      <c r="AL115" s="6">
        <f t="shared" si="18"/>
        <v>7189763.2149208719</v>
      </c>
    </row>
    <row r="116" spans="13:38" hidden="1" x14ac:dyDescent="0.25">
      <c r="M116" s="3">
        <v>104</v>
      </c>
      <c r="N116" s="3">
        <f t="shared" si="14"/>
        <v>41078.20855944194</v>
      </c>
      <c r="O116" s="6">
        <f t="shared" si="15"/>
        <v>7299453.3804905238</v>
      </c>
      <c r="P116" s="6"/>
      <c r="S116" s="23"/>
      <c r="AG116" s="3">
        <v>104</v>
      </c>
      <c r="AI116" s="23">
        <f t="shared" si="16"/>
        <v>7299453.3804905238</v>
      </c>
      <c r="AJ116" s="44">
        <f t="shared" si="17"/>
        <v>4957732.0057905735</v>
      </c>
      <c r="AL116" s="6">
        <f t="shared" si="18"/>
        <v>7299453.3804905238</v>
      </c>
    </row>
    <row r="117" spans="13:38" hidden="1" x14ac:dyDescent="0.25">
      <c r="M117" s="3">
        <v>105</v>
      </c>
      <c r="N117" s="3">
        <f t="shared" si="14"/>
        <v>41078.20855944194</v>
      </c>
      <c r="O117" s="6">
        <f t="shared" si="15"/>
        <v>7410184.3733282229</v>
      </c>
      <c r="P117" s="6"/>
      <c r="S117" s="23"/>
      <c r="U117" s="23"/>
      <c r="V117" s="23"/>
      <c r="AG117" s="3">
        <v>105</v>
      </c>
      <c r="AI117" s="23">
        <f t="shared" si="16"/>
        <v>7410184.3733282229</v>
      </c>
      <c r="AJ117" s="44">
        <f t="shared" si="17"/>
        <v>5032939.635541548</v>
      </c>
      <c r="AL117" s="6">
        <f t="shared" si="18"/>
        <v>7410184.3733282229</v>
      </c>
    </row>
    <row r="118" spans="13:38" hidden="1" x14ac:dyDescent="0.25">
      <c r="M118" s="3">
        <v>106</v>
      </c>
      <c r="N118" s="3">
        <f t="shared" si="14"/>
        <v>41078.20855944194</v>
      </c>
      <c r="O118" s="6">
        <f t="shared" si="15"/>
        <v>7521966.0696284063</v>
      </c>
      <c r="P118" s="6"/>
      <c r="S118" s="23"/>
      <c r="U118" s="23"/>
      <c r="V118" s="23"/>
      <c r="AG118" s="3">
        <v>106</v>
      </c>
      <c r="AI118" s="23">
        <f t="shared" si="16"/>
        <v>7521966.0696284063</v>
      </c>
      <c r="AJ118" s="44">
        <f t="shared" si="17"/>
        <v>5108860.8949183347</v>
      </c>
      <c r="AL118" s="6">
        <f t="shared" si="18"/>
        <v>7521966.0696284063</v>
      </c>
    </row>
    <row r="119" spans="13:38" hidden="1" x14ac:dyDescent="0.25">
      <c r="M119" s="3">
        <v>107</v>
      </c>
      <c r="N119" s="3">
        <f t="shared" si="14"/>
        <v>41078.20855944194</v>
      </c>
      <c r="O119" s="6">
        <f t="shared" si="15"/>
        <v>7634808.4392986586</v>
      </c>
      <c r="P119" s="6"/>
      <c r="S119" s="23"/>
      <c r="AG119" s="3">
        <v>107</v>
      </c>
      <c r="AI119" s="23">
        <f t="shared" si="16"/>
        <v>7634808.4392986586</v>
      </c>
      <c r="AJ119" s="44">
        <f t="shared" si="17"/>
        <v>5185502.5554046798</v>
      </c>
      <c r="AL119" s="6">
        <f t="shared" si="18"/>
        <v>7634808.4392986586</v>
      </c>
    </row>
    <row r="120" spans="13:38" hidden="1" x14ac:dyDescent="0.25">
      <c r="M120" s="3">
        <v>108</v>
      </c>
      <c r="N120" s="3">
        <f t="shared" si="14"/>
        <v>41078.20855944194</v>
      </c>
      <c r="O120" s="6">
        <f t="shared" si="15"/>
        <v>7748721.5468489537</v>
      </c>
      <c r="P120" s="6"/>
      <c r="S120" s="23"/>
      <c r="AG120" s="3">
        <v>108</v>
      </c>
      <c r="AI120" s="23">
        <f t="shared" si="16"/>
        <v>7748721.5468489537</v>
      </c>
      <c r="AJ120" s="44">
        <f t="shared" si="17"/>
        <v>5262871.4527375391</v>
      </c>
      <c r="AL120" s="6">
        <f t="shared" si="18"/>
        <v>7748721.5468489537</v>
      </c>
    </row>
    <row r="121" spans="13:38" hidden="1" x14ac:dyDescent="0.25">
      <c r="M121" s="3">
        <v>109</v>
      </c>
      <c r="N121" s="3">
        <f t="shared" si="14"/>
        <v>41078.20855944194</v>
      </c>
      <c r="O121" s="6">
        <f t="shared" si="15"/>
        <v>7863715.5522893313</v>
      </c>
      <c r="P121" s="6"/>
      <c r="S121" s="23"/>
      <c r="AG121" s="3">
        <v>109</v>
      </c>
      <c r="AI121" s="23">
        <f t="shared" si="16"/>
        <v>7863715.5522893313</v>
      </c>
      <c r="AJ121" s="44">
        <f t="shared" si="17"/>
        <v>5340974.4875167683</v>
      </c>
      <c r="AL121" s="6">
        <f t="shared" si="18"/>
        <v>7863715.5522893313</v>
      </c>
    </row>
    <row r="122" spans="13:38" hidden="1" x14ac:dyDescent="0.25">
      <c r="M122" s="3">
        <v>110</v>
      </c>
      <c r="N122" s="3">
        <f t="shared" si="14"/>
        <v>41078.20855944194</v>
      </c>
      <c r="O122" s="6">
        <f t="shared" si="15"/>
        <v>7979800.7120360555</v>
      </c>
      <c r="P122" s="6"/>
      <c r="S122" s="23"/>
      <c r="AG122" s="3">
        <v>110</v>
      </c>
      <c r="AI122" s="23">
        <f t="shared" si="16"/>
        <v>7979800.7120360555</v>
      </c>
      <c r="AJ122" s="44">
        <f t="shared" si="17"/>
        <v>5419818.6258205837</v>
      </c>
      <c r="AL122" s="6">
        <f t="shared" si="18"/>
        <v>7979800.7120360555</v>
      </c>
    </row>
    <row r="123" spans="13:38" hidden="1" x14ac:dyDescent="0.25">
      <c r="M123" s="3">
        <v>111</v>
      </c>
      <c r="N123" s="3">
        <f t="shared" si="14"/>
        <v>41078.20855944194</v>
      </c>
      <c r="O123" s="6">
        <f t="shared" si="15"/>
        <v>8096987.3798263902</v>
      </c>
      <c r="P123" s="6"/>
      <c r="S123" s="23"/>
      <c r="AG123" s="3">
        <v>111</v>
      </c>
      <c r="AI123" s="23">
        <f t="shared" si="16"/>
        <v>8096987.3798263902</v>
      </c>
      <c r="AJ123" s="44">
        <f t="shared" si="17"/>
        <v>5499410.8998268666</v>
      </c>
      <c r="AL123" s="6">
        <f t="shared" si="18"/>
        <v>8096987.3798263902</v>
      </c>
    </row>
    <row r="124" spans="13:38" hidden="1" x14ac:dyDescent="0.25">
      <c r="M124" s="3">
        <v>112</v>
      </c>
      <c r="N124" s="3">
        <f t="shared" si="14"/>
        <v>41078.20855944194</v>
      </c>
      <c r="O124" s="6">
        <f t="shared" si="15"/>
        <v>8215286.0076420801</v>
      </c>
      <c r="P124" s="6"/>
      <c r="S124" s="23"/>
      <c r="AG124" s="3">
        <v>112</v>
      </c>
      <c r="AI124" s="23">
        <f t="shared" si="16"/>
        <v>8215286.0076420801</v>
      </c>
      <c r="AJ124" s="44">
        <f t="shared" si="17"/>
        <v>5579758.4084403869</v>
      </c>
      <c r="AL124" s="6">
        <f t="shared" si="18"/>
        <v>8215286.0076420801</v>
      </c>
    </row>
    <row r="125" spans="13:38" hidden="1" x14ac:dyDescent="0.25">
      <c r="M125" s="3">
        <v>113</v>
      </c>
      <c r="N125" s="3">
        <f t="shared" si="14"/>
        <v>41078.20855944194</v>
      </c>
      <c r="O125" s="6">
        <f t="shared" si="15"/>
        <v>8334707.146641559</v>
      </c>
      <c r="P125" s="6"/>
      <c r="S125" s="23"/>
      <c r="T125" s="23"/>
      <c r="AG125" s="3">
        <v>113</v>
      </c>
      <c r="AI125" s="23">
        <f t="shared" si="16"/>
        <v>8334707.146641559</v>
      </c>
      <c r="AJ125" s="44">
        <f t="shared" si="17"/>
        <v>5660868.3179259514</v>
      </c>
      <c r="AL125" s="6">
        <f t="shared" si="18"/>
        <v>8334707.146641559</v>
      </c>
    </row>
    <row r="126" spans="13:38" hidden="1" x14ac:dyDescent="0.25">
      <c r="M126" s="3">
        <v>114</v>
      </c>
      <c r="N126" s="3">
        <f t="shared" si="14"/>
        <v>41078.20855944194</v>
      </c>
      <c r="O126" s="6">
        <f t="shared" si="15"/>
        <v>8455261.4481010176</v>
      </c>
      <c r="P126" s="6"/>
      <c r="S126" s="23"/>
      <c r="AG126" s="3">
        <v>114</v>
      </c>
      <c r="AI126" s="23">
        <f t="shared" si="16"/>
        <v>8455261.4481010176</v>
      </c>
      <c r="AJ126" s="44">
        <f t="shared" si="17"/>
        <v>5742747.862547568</v>
      </c>
      <c r="AL126" s="6">
        <f t="shared" si="18"/>
        <v>8455261.4481010176</v>
      </c>
    </row>
    <row r="127" spans="13:38" hidden="1" x14ac:dyDescent="0.25">
      <c r="M127" s="3">
        <v>115</v>
      </c>
      <c r="N127" s="3">
        <f t="shared" si="14"/>
        <v>41078.20855944194</v>
      </c>
      <c r="O127" s="6">
        <f t="shared" si="15"/>
        <v>8576959.6643643994</v>
      </c>
      <c r="P127" s="6"/>
      <c r="S127" s="23"/>
      <c r="AG127" s="3">
        <v>115</v>
      </c>
      <c r="AI127" s="23">
        <f t="shared" si="16"/>
        <v>8576959.6643643994</v>
      </c>
      <c r="AJ127" s="44">
        <f t="shared" si="17"/>
        <v>5825404.3452136768</v>
      </c>
      <c r="AL127" s="6">
        <f t="shared" si="18"/>
        <v>8576959.6643643994</v>
      </c>
    </row>
    <row r="128" spans="13:38" hidden="1" x14ac:dyDescent="0.25">
      <c r="M128" s="3">
        <v>116</v>
      </c>
      <c r="N128" s="3">
        <f t="shared" si="14"/>
        <v>41078.20855944194</v>
      </c>
      <c r="O128" s="6">
        <f t="shared" si="15"/>
        <v>8699812.6498024072</v>
      </c>
      <c r="P128" s="6"/>
      <c r="S128" s="23"/>
      <c r="AG128" s="3">
        <v>116</v>
      </c>
      <c r="AI128" s="23">
        <f t="shared" si="16"/>
        <v>8699812.6498024072</v>
      </c>
      <c r="AJ128" s="44">
        <f t="shared" si="17"/>
        <v>5908845.1381285023</v>
      </c>
      <c r="AL128" s="6">
        <f t="shared" si="18"/>
        <v>8699812.6498024072</v>
      </c>
    </row>
    <row r="129" spans="13:38" hidden="1" x14ac:dyDescent="0.25">
      <c r="M129" s="3">
        <v>117</v>
      </c>
      <c r="N129" s="3">
        <f t="shared" si="14"/>
        <v>41078.20855944194</v>
      </c>
      <c r="O129" s="6">
        <f t="shared" si="15"/>
        <v>8823831.361780636</v>
      </c>
      <c r="P129" s="6"/>
      <c r="S129" s="23"/>
      <c r="AG129" s="3">
        <v>117</v>
      </c>
      <c r="AI129" s="23">
        <f t="shared" si="16"/>
        <v>8823831.361780636</v>
      </c>
      <c r="AJ129" s="44">
        <f t="shared" si="17"/>
        <v>5993077.683449598</v>
      </c>
      <c r="AL129" s="6">
        <f t="shared" si="18"/>
        <v>8823831.361780636</v>
      </c>
    </row>
    <row r="130" spans="13:38" hidden="1" x14ac:dyDescent="0.25">
      <c r="M130" s="3">
        <v>118</v>
      </c>
      <c r="N130" s="3">
        <f t="shared" si="14"/>
        <v>41078.20855944194</v>
      </c>
      <c r="O130" s="6">
        <f t="shared" si="15"/>
        <v>8949026.8616368398</v>
      </c>
      <c r="P130" s="6"/>
      <c r="S130" s="23"/>
      <c r="AG130" s="3">
        <v>118</v>
      </c>
      <c r="AI130" s="23">
        <f t="shared" si="16"/>
        <v>8949026.8616368398</v>
      </c>
      <c r="AJ130" s="44">
        <f t="shared" si="17"/>
        <v>6078109.4939515973</v>
      </c>
      <c r="AL130" s="6">
        <f t="shared" si="18"/>
        <v>8949026.8616368398</v>
      </c>
    </row>
    <row r="131" spans="13:38" hidden="1" x14ac:dyDescent="0.25">
      <c r="M131" s="3">
        <v>119</v>
      </c>
      <c r="N131" s="3">
        <f t="shared" si="14"/>
        <v>41078.20855944194</v>
      </c>
      <c r="O131" s="6">
        <f t="shared" si="15"/>
        <v>9075410.3156675231</v>
      </c>
      <c r="P131" s="6"/>
      <c r="S131" s="23"/>
      <c r="AG131" s="3">
        <v>119</v>
      </c>
      <c r="AI131" s="23">
        <f t="shared" si="16"/>
        <v>9075410.3156675231</v>
      </c>
      <c r="AJ131" s="44">
        <f t="shared" si="17"/>
        <v>6163948.1536963042</v>
      </c>
      <c r="AL131" s="6">
        <f t="shared" si="18"/>
        <v>9075410.3156675231</v>
      </c>
    </row>
    <row r="132" spans="13:38" hidden="1" x14ac:dyDescent="0.25">
      <c r="M132" s="3">
        <v>120</v>
      </c>
      <c r="N132" s="3">
        <f t="shared" si="14"/>
        <v>41078.20855944194</v>
      </c>
      <c r="O132" s="6">
        <f t="shared" si="15"/>
        <v>9202992.9961238522</v>
      </c>
      <c r="P132" s="6"/>
      <c r="Q132" s="23"/>
      <c r="S132" s="23"/>
      <c r="AG132" s="3">
        <v>120</v>
      </c>
      <c r="AI132" s="23">
        <f t="shared" si="16"/>
        <v>9202992.9961238522</v>
      </c>
      <c r="AJ132" s="44">
        <f t="shared" si="17"/>
        <v>6250601.3187091062</v>
      </c>
      <c r="AL132" s="6">
        <f t="shared" si="18"/>
        <v>9202992.9961238522</v>
      </c>
    </row>
    <row r="133" spans="13:38" hidden="1" x14ac:dyDescent="0.25">
      <c r="M133" s="3">
        <v>121</v>
      </c>
      <c r="N133" s="3">
        <f t="shared" si="14"/>
        <v>0</v>
      </c>
      <c r="O133" s="6">
        <f t="shared" si="15"/>
        <v>0</v>
      </c>
      <c r="P133" s="6"/>
      <c r="S133" s="23"/>
      <c r="AG133" s="3">
        <v>121</v>
      </c>
      <c r="AI133" s="23">
        <f t="shared" si="16"/>
        <v>0</v>
      </c>
      <c r="AJ133" s="44">
        <f t="shared" si="17"/>
        <v>6338076.7176618427</v>
      </c>
      <c r="AL133" s="6">
        <f t="shared" si="18"/>
        <v>0</v>
      </c>
    </row>
    <row r="134" spans="13:38" hidden="1" x14ac:dyDescent="0.25">
      <c r="M134" s="3">
        <v>122</v>
      </c>
      <c r="N134" s="3">
        <f t="shared" si="14"/>
        <v>0</v>
      </c>
      <c r="O134" s="6">
        <f t="shared" si="15"/>
        <v>0</v>
      </c>
      <c r="P134" s="6"/>
      <c r="S134" s="23"/>
      <c r="AG134" s="3">
        <v>122</v>
      </c>
      <c r="AI134" s="23">
        <f t="shared" si="16"/>
        <v>0</v>
      </c>
      <c r="AJ134" s="44">
        <f t="shared" si="17"/>
        <v>6426382.1525621144</v>
      </c>
      <c r="AL134" s="6">
        <f t="shared" si="18"/>
        <v>0</v>
      </c>
    </row>
    <row r="135" spans="13:38" hidden="1" x14ac:dyDescent="0.25">
      <c r="M135" s="3">
        <v>123</v>
      </c>
      <c r="N135" s="3">
        <f t="shared" si="14"/>
        <v>0</v>
      </c>
      <c r="O135" s="6">
        <f t="shared" si="15"/>
        <v>0</v>
      </c>
      <c r="P135" s="6"/>
      <c r="S135" s="23"/>
      <c r="AG135" s="3">
        <v>123</v>
      </c>
      <c r="AI135" s="23">
        <f t="shared" si="16"/>
        <v>0</v>
      </c>
      <c r="AJ135" s="44">
        <f t="shared" si="17"/>
        <v>6515525.4994491525</v>
      </c>
      <c r="AL135" s="6">
        <f t="shared" si="18"/>
        <v>0</v>
      </c>
    </row>
    <row r="136" spans="13:38" hidden="1" x14ac:dyDescent="0.25">
      <c r="M136" s="3">
        <v>124</v>
      </c>
      <c r="N136" s="3">
        <f t="shared" si="14"/>
        <v>0</v>
      </c>
      <c r="O136" s="6">
        <f t="shared" si="15"/>
        <v>0</v>
      </c>
      <c r="P136" s="6"/>
      <c r="S136" s="23"/>
      <c r="AG136" s="3">
        <v>124</v>
      </c>
      <c r="AI136" s="23">
        <f t="shared" si="16"/>
        <v>0</v>
      </c>
      <c r="AJ136" s="44">
        <f t="shared" si="17"/>
        <v>6605514.7090962976</v>
      </c>
      <c r="AL136" s="6">
        <f t="shared" si="18"/>
        <v>0</v>
      </c>
    </row>
    <row r="137" spans="13:38" hidden="1" x14ac:dyDescent="0.25">
      <c r="M137" s="3">
        <v>125</v>
      </c>
      <c r="N137" s="3">
        <f t="shared" si="14"/>
        <v>0</v>
      </c>
      <c r="O137" s="6">
        <f t="shared" si="15"/>
        <v>0</v>
      </c>
      <c r="P137" s="6"/>
      <c r="S137" s="23"/>
      <c r="AG137" s="3">
        <v>125</v>
      </c>
      <c r="AI137" s="23">
        <f t="shared" si="16"/>
        <v>0</v>
      </c>
      <c r="AJ137" s="44">
        <f t="shared" si="17"/>
        <v>6696357.8077201275</v>
      </c>
      <c r="AL137" s="6">
        <f t="shared" si="18"/>
        <v>0</v>
      </c>
    </row>
    <row r="138" spans="13:38" hidden="1" x14ac:dyDescent="0.25">
      <c r="M138" s="3">
        <v>126</v>
      </c>
      <c r="N138" s="3">
        <f t="shared" si="14"/>
        <v>0</v>
      </c>
      <c r="O138" s="6">
        <f t="shared" si="15"/>
        <v>0</v>
      </c>
      <c r="P138" s="6"/>
      <c r="S138" s="23"/>
      <c r="AG138" s="3">
        <v>126</v>
      </c>
      <c r="AI138" s="23">
        <f t="shared" si="16"/>
        <v>0</v>
      </c>
      <c r="AJ138" s="44">
        <f t="shared" si="17"/>
        <v>6788062.8976963386</v>
      </c>
      <c r="AL138" s="6">
        <f t="shared" si="18"/>
        <v>0</v>
      </c>
    </row>
    <row r="139" spans="13:38" hidden="1" x14ac:dyDescent="0.25">
      <c r="M139" s="3">
        <v>127</v>
      </c>
      <c r="N139" s="3">
        <f t="shared" si="14"/>
        <v>0</v>
      </c>
      <c r="O139" s="6">
        <f t="shared" si="15"/>
        <v>0</v>
      </c>
      <c r="P139" s="6"/>
      <c r="S139" s="23"/>
      <c r="AG139" s="3">
        <v>127</v>
      </c>
      <c r="AI139" s="23">
        <f t="shared" si="16"/>
        <v>0</v>
      </c>
      <c r="AJ139" s="44">
        <f t="shared" si="17"/>
        <v>6880638.1582823815</v>
      </c>
      <c r="AL139" s="6">
        <f t="shared" si="18"/>
        <v>0</v>
      </c>
    </row>
    <row r="140" spans="13:38" hidden="1" x14ac:dyDescent="0.25">
      <c r="M140" s="3">
        <v>128</v>
      </c>
      <c r="N140" s="3">
        <f t="shared" si="14"/>
        <v>0</v>
      </c>
      <c r="O140" s="6">
        <f t="shared" si="15"/>
        <v>0</v>
      </c>
      <c r="P140" s="6"/>
      <c r="S140" s="23"/>
      <c r="AG140" s="3">
        <v>128</v>
      </c>
      <c r="AI140" s="23">
        <f t="shared" si="16"/>
        <v>0</v>
      </c>
      <c r="AJ140" s="44">
        <f t="shared" si="17"/>
        <v>6974091.8463469883</v>
      </c>
      <c r="AL140" s="6">
        <f t="shared" si="18"/>
        <v>0</v>
      </c>
    </row>
    <row r="141" spans="13:38" hidden="1" x14ac:dyDescent="0.25">
      <c r="M141" s="3">
        <v>129</v>
      </c>
      <c r="N141" s="3">
        <f t="shared" ref="N141:N204" si="19">IF(M141&lt;=IF($T$6=1,$O$8,ROUNDUP($J$8,0)),SIPAmount,0)</f>
        <v>0</v>
      </c>
      <c r="O141" s="6">
        <f t="shared" ref="O141:O204" si="20">FV(SIPRate,M141,-N141,0,1)</f>
        <v>0</v>
      </c>
      <c r="P141" s="6"/>
      <c r="S141" s="23"/>
      <c r="AG141" s="3">
        <v>129</v>
      </c>
      <c r="AI141" s="23">
        <f t="shared" si="16"/>
        <v>0</v>
      </c>
      <c r="AJ141" s="44">
        <f t="shared" si="17"/>
        <v>7068432.2971066134</v>
      </c>
      <c r="AL141" s="6">
        <f t="shared" si="18"/>
        <v>0</v>
      </c>
    </row>
    <row r="142" spans="13:38" hidden="1" x14ac:dyDescent="0.25">
      <c r="M142" s="3">
        <v>130</v>
      </c>
      <c r="N142" s="3">
        <f t="shared" si="19"/>
        <v>0</v>
      </c>
      <c r="O142" s="6">
        <f t="shared" si="20"/>
        <v>0</v>
      </c>
      <c r="P142" s="6"/>
      <c r="S142" s="23"/>
      <c r="AG142" s="3">
        <v>130</v>
      </c>
      <c r="AI142" s="23">
        <f t="shared" ref="AI142:AI205" si="21">IF(AG142&lt;=$O$8,FV($O$3,AG142,-$O$5,0,1),0)</f>
        <v>0</v>
      </c>
      <c r="AJ142" s="44">
        <f t="shared" ref="AJ142:AJ205" si="22">IF(OR(AJ141=0,AJ141&gt;=$C$15),0,FV($O$3,AG142,-$C$17,0,1))</f>
        <v>7163667.9248688547</v>
      </c>
      <c r="AL142" s="6">
        <f t="shared" ref="AL142:AL205" si="23">O142</f>
        <v>0</v>
      </c>
    </row>
    <row r="143" spans="13:38" hidden="1" x14ac:dyDescent="0.25">
      <c r="M143" s="3">
        <v>131</v>
      </c>
      <c r="N143" s="3">
        <f t="shared" si="19"/>
        <v>0</v>
      </c>
      <c r="O143" s="6">
        <f t="shared" si="20"/>
        <v>0</v>
      </c>
      <c r="P143" s="6"/>
      <c r="S143" s="23"/>
      <c r="AG143" s="3">
        <v>131</v>
      </c>
      <c r="AI143" s="23">
        <f t="shared" si="21"/>
        <v>0</v>
      </c>
      <c r="AJ143" s="44">
        <f t="shared" si="22"/>
        <v>7259807.2237829231</v>
      </c>
      <c r="AL143" s="6">
        <f t="shared" si="23"/>
        <v>0</v>
      </c>
    </row>
    <row r="144" spans="13:38" hidden="1" x14ac:dyDescent="0.25">
      <c r="M144" s="3">
        <v>132</v>
      </c>
      <c r="N144" s="3">
        <f t="shared" si="19"/>
        <v>0</v>
      </c>
      <c r="O144" s="6">
        <f t="shared" si="20"/>
        <v>0</v>
      </c>
      <c r="P144" s="6"/>
      <c r="S144" s="23"/>
      <c r="AG144" s="3">
        <v>132</v>
      </c>
      <c r="AI144" s="23">
        <f t="shared" si="21"/>
        <v>0</v>
      </c>
      <c r="AJ144" s="44">
        <f t="shared" si="22"/>
        <v>7356858.7685972638</v>
      </c>
      <c r="AL144" s="6">
        <f t="shared" si="23"/>
        <v>0</v>
      </c>
    </row>
    <row r="145" spans="13:38" hidden="1" x14ac:dyDescent="0.25">
      <c r="M145" s="3">
        <v>133</v>
      </c>
      <c r="N145" s="3">
        <f t="shared" si="19"/>
        <v>0</v>
      </c>
      <c r="O145" s="6">
        <f t="shared" si="20"/>
        <v>0</v>
      </c>
      <c r="P145" s="6"/>
      <c r="S145" s="23"/>
      <c r="AG145" s="3">
        <v>133</v>
      </c>
      <c r="AI145" s="23">
        <f t="shared" si="21"/>
        <v>0</v>
      </c>
      <c r="AJ145" s="44">
        <f t="shared" si="22"/>
        <v>7454831.2154243328</v>
      </c>
      <c r="AL145" s="6">
        <f t="shared" si="23"/>
        <v>0</v>
      </c>
    </row>
    <row r="146" spans="13:38" hidden="1" x14ac:dyDescent="0.25">
      <c r="M146" s="3">
        <v>134</v>
      </c>
      <c r="N146" s="3">
        <f t="shared" si="19"/>
        <v>0</v>
      </c>
      <c r="O146" s="6">
        <f t="shared" si="20"/>
        <v>0</v>
      </c>
      <c r="P146" s="6"/>
      <c r="S146" s="23"/>
      <c r="AG146" s="3">
        <v>134</v>
      </c>
      <c r="AI146" s="23">
        <f t="shared" si="21"/>
        <v>0</v>
      </c>
      <c r="AJ146" s="44">
        <f t="shared" si="22"/>
        <v>7553733.3025126345</v>
      </c>
      <c r="AL146" s="6">
        <f t="shared" si="23"/>
        <v>0</v>
      </c>
    </row>
    <row r="147" spans="13:38" hidden="1" x14ac:dyDescent="0.25">
      <c r="M147" s="3">
        <v>135</v>
      </c>
      <c r="N147" s="3">
        <f t="shared" si="19"/>
        <v>0</v>
      </c>
      <c r="O147" s="6">
        <f t="shared" si="20"/>
        <v>0</v>
      </c>
      <c r="P147" s="6"/>
      <c r="S147" s="23"/>
      <c r="AG147" s="3">
        <v>135</v>
      </c>
      <c r="AI147" s="23">
        <f t="shared" si="21"/>
        <v>0</v>
      </c>
      <c r="AJ147" s="44">
        <f t="shared" si="22"/>
        <v>7653573.8510261159</v>
      </c>
      <c r="AL147" s="6">
        <f t="shared" si="23"/>
        <v>0</v>
      </c>
    </row>
    <row r="148" spans="13:38" hidden="1" x14ac:dyDescent="0.25">
      <c r="M148" s="3">
        <v>136</v>
      </c>
      <c r="N148" s="3">
        <f t="shared" si="19"/>
        <v>0</v>
      </c>
      <c r="O148" s="6">
        <f t="shared" si="20"/>
        <v>0</v>
      </c>
      <c r="P148" s="6"/>
      <c r="S148" s="23"/>
      <c r="AG148" s="3">
        <v>136</v>
      </c>
      <c r="AI148" s="23">
        <f t="shared" si="21"/>
        <v>0</v>
      </c>
      <c r="AJ148" s="44">
        <f t="shared" si="22"/>
        <v>7754361.7658309164</v>
      </c>
      <c r="AL148" s="6">
        <f t="shared" si="23"/>
        <v>0</v>
      </c>
    </row>
    <row r="149" spans="13:38" hidden="1" x14ac:dyDescent="0.25">
      <c r="M149" s="3">
        <v>137</v>
      </c>
      <c r="N149" s="3">
        <f t="shared" si="19"/>
        <v>0</v>
      </c>
      <c r="O149" s="6">
        <f t="shared" si="20"/>
        <v>0</v>
      </c>
      <c r="P149" s="6"/>
      <c r="S149" s="23"/>
      <c r="AG149" s="3">
        <v>137</v>
      </c>
      <c r="AI149" s="23">
        <f t="shared" si="21"/>
        <v>0</v>
      </c>
      <c r="AJ149" s="44">
        <f t="shared" si="22"/>
        <v>7856106.0362896081</v>
      </c>
      <c r="AL149" s="6">
        <f t="shared" si="23"/>
        <v>0</v>
      </c>
    </row>
    <row r="150" spans="13:38" hidden="1" x14ac:dyDescent="0.25">
      <c r="M150" s="3">
        <v>138</v>
      </c>
      <c r="N150" s="3">
        <f t="shared" si="19"/>
        <v>0</v>
      </c>
      <c r="O150" s="6">
        <f t="shared" si="20"/>
        <v>0</v>
      </c>
      <c r="P150" s="6"/>
      <c r="S150" s="23"/>
      <c r="AG150" s="3">
        <v>138</v>
      </c>
      <c r="AI150" s="23">
        <f t="shared" si="21"/>
        <v>0</v>
      </c>
      <c r="AJ150" s="44">
        <f t="shared" si="22"/>
        <v>7958815.7370629646</v>
      </c>
      <c r="AL150" s="6">
        <f t="shared" si="23"/>
        <v>0</v>
      </c>
    </row>
    <row r="151" spans="13:38" hidden="1" x14ac:dyDescent="0.25">
      <c r="M151" s="3">
        <v>139</v>
      </c>
      <c r="N151" s="3">
        <f t="shared" si="19"/>
        <v>0</v>
      </c>
      <c r="O151" s="6">
        <f t="shared" si="20"/>
        <v>0</v>
      </c>
      <c r="P151" s="6"/>
      <c r="S151" s="23"/>
      <c r="AG151" s="3">
        <v>139</v>
      </c>
      <c r="AI151" s="23">
        <f t="shared" si="21"/>
        <v>0</v>
      </c>
      <c r="AJ151" s="44">
        <f t="shared" si="22"/>
        <v>8062500.0289193327</v>
      </c>
      <c r="AL151" s="6">
        <f t="shared" si="23"/>
        <v>0</v>
      </c>
    </row>
    <row r="152" spans="13:38" hidden="1" x14ac:dyDescent="0.25">
      <c r="M152" s="3">
        <v>140</v>
      </c>
      <c r="N152" s="3">
        <f t="shared" si="19"/>
        <v>0</v>
      </c>
      <c r="O152" s="6">
        <f t="shared" si="20"/>
        <v>0</v>
      </c>
      <c r="P152" s="6"/>
      <c r="S152" s="23"/>
      <c r="AG152" s="3">
        <v>140</v>
      </c>
      <c r="AI152" s="23">
        <f t="shared" si="21"/>
        <v>0</v>
      </c>
      <c r="AJ152" s="44">
        <f t="shared" si="22"/>
        <v>8167168.1595516922</v>
      </c>
      <c r="AL152" s="6">
        <f t="shared" si="23"/>
        <v>0</v>
      </c>
    </row>
    <row r="153" spans="13:38" hidden="1" x14ac:dyDescent="0.25">
      <c r="M153" s="3">
        <v>141</v>
      </c>
      <c r="N153" s="3">
        <f t="shared" si="19"/>
        <v>0</v>
      </c>
      <c r="O153" s="6">
        <f t="shared" si="20"/>
        <v>0</v>
      </c>
      <c r="P153" s="6"/>
      <c r="S153" s="23"/>
      <c r="AG153" s="3">
        <v>141</v>
      </c>
      <c r="AI153" s="23">
        <f t="shared" si="21"/>
        <v>0</v>
      </c>
      <c r="AJ153" s="44">
        <f t="shared" si="22"/>
        <v>8272829.4644024726</v>
      </c>
      <c r="AL153" s="6">
        <f t="shared" si="23"/>
        <v>0</v>
      </c>
    </row>
    <row r="154" spans="13:38" hidden="1" x14ac:dyDescent="0.25">
      <c r="M154" s="3">
        <v>142</v>
      </c>
      <c r="N154" s="3">
        <f t="shared" si="19"/>
        <v>0</v>
      </c>
      <c r="O154" s="6">
        <f t="shared" si="20"/>
        <v>0</v>
      </c>
      <c r="P154" s="6"/>
      <c r="S154" s="23"/>
      <c r="AG154" s="3">
        <v>142</v>
      </c>
      <c r="AI154" s="23">
        <f t="shared" si="21"/>
        <v>0</v>
      </c>
      <c r="AJ154" s="44">
        <f t="shared" si="22"/>
        <v>8379493.3674961822</v>
      </c>
      <c r="AL154" s="6">
        <f t="shared" si="23"/>
        <v>0</v>
      </c>
    </row>
    <row r="155" spans="13:38" hidden="1" x14ac:dyDescent="0.25">
      <c r="M155" s="3">
        <v>143</v>
      </c>
      <c r="N155" s="3">
        <f t="shared" si="19"/>
        <v>0</v>
      </c>
      <c r="O155" s="6">
        <f t="shared" si="20"/>
        <v>0</v>
      </c>
      <c r="P155" s="6"/>
      <c r="S155" s="23"/>
      <c r="AG155" s="3">
        <v>143</v>
      </c>
      <c r="AI155" s="23">
        <f t="shared" si="21"/>
        <v>0</v>
      </c>
      <c r="AJ155" s="44">
        <f t="shared" si="22"/>
        <v>8487169.3822799418</v>
      </c>
      <c r="AL155" s="6">
        <f t="shared" si="23"/>
        <v>0</v>
      </c>
    </row>
    <row r="156" spans="13:38" hidden="1" x14ac:dyDescent="0.25">
      <c r="M156" s="3">
        <v>144</v>
      </c>
      <c r="N156" s="3">
        <f t="shared" si="19"/>
        <v>0</v>
      </c>
      <c r="O156" s="6">
        <f t="shared" si="20"/>
        <v>0</v>
      </c>
      <c r="P156" s="6"/>
      <c r="S156" s="23"/>
      <c r="AG156" s="3">
        <v>144</v>
      </c>
      <c r="AI156" s="23">
        <f t="shared" si="21"/>
        <v>0</v>
      </c>
      <c r="AJ156" s="44">
        <f t="shared" si="22"/>
        <v>8595867.1124720033</v>
      </c>
      <c r="AL156" s="6">
        <f t="shared" si="23"/>
        <v>0</v>
      </c>
    </row>
    <row r="157" spans="13:38" hidden="1" x14ac:dyDescent="0.25">
      <c r="M157" s="3">
        <v>145</v>
      </c>
      <c r="N157" s="3">
        <f t="shared" si="19"/>
        <v>0</v>
      </c>
      <c r="O157" s="6">
        <f t="shared" si="20"/>
        <v>0</v>
      </c>
      <c r="P157" s="6"/>
      <c r="S157" s="23"/>
      <c r="AG157" s="3">
        <v>145</v>
      </c>
      <c r="AI157" s="23">
        <f t="shared" si="21"/>
        <v>0</v>
      </c>
      <c r="AJ157" s="44">
        <f t="shared" si="22"/>
        <v>8705596.2529183179</v>
      </c>
      <c r="AL157" s="6">
        <f t="shared" si="23"/>
        <v>0</v>
      </c>
    </row>
    <row r="158" spans="13:38" hidden="1" x14ac:dyDescent="0.25">
      <c r="M158" s="3">
        <v>146</v>
      </c>
      <c r="N158" s="3">
        <f t="shared" si="19"/>
        <v>0</v>
      </c>
      <c r="O158" s="6">
        <f t="shared" si="20"/>
        <v>0</v>
      </c>
      <c r="P158" s="6"/>
      <c r="S158" s="23"/>
      <c r="AG158" s="3">
        <v>146</v>
      </c>
      <c r="AI158" s="23">
        <f t="shared" si="21"/>
        <v>0</v>
      </c>
      <c r="AJ158" s="44">
        <f t="shared" si="22"/>
        <v>0</v>
      </c>
      <c r="AL158" s="6">
        <f t="shared" si="23"/>
        <v>0</v>
      </c>
    </row>
    <row r="159" spans="13:38" hidden="1" x14ac:dyDescent="0.25">
      <c r="M159" s="3">
        <v>147</v>
      </c>
      <c r="N159" s="3">
        <f t="shared" si="19"/>
        <v>0</v>
      </c>
      <c r="O159" s="6">
        <f t="shared" si="20"/>
        <v>0</v>
      </c>
      <c r="P159" s="6"/>
      <c r="S159" s="23"/>
      <c r="AG159" s="3">
        <v>147</v>
      </c>
      <c r="AI159" s="23">
        <f t="shared" si="21"/>
        <v>0</v>
      </c>
      <c r="AJ159" s="44">
        <f t="shared" si="22"/>
        <v>0</v>
      </c>
      <c r="AL159" s="6">
        <f t="shared" si="23"/>
        <v>0</v>
      </c>
    </row>
    <row r="160" spans="13:38" hidden="1" x14ac:dyDescent="0.25">
      <c r="M160" s="3">
        <v>148</v>
      </c>
      <c r="N160" s="3">
        <f t="shared" si="19"/>
        <v>0</v>
      </c>
      <c r="O160" s="6">
        <f t="shared" si="20"/>
        <v>0</v>
      </c>
      <c r="P160" s="6"/>
      <c r="S160" s="23"/>
      <c r="AG160" s="3">
        <v>148</v>
      </c>
      <c r="AI160" s="23">
        <f t="shared" si="21"/>
        <v>0</v>
      </c>
      <c r="AJ160" s="44">
        <f t="shared" si="22"/>
        <v>0</v>
      </c>
      <c r="AL160" s="6">
        <f t="shared" si="23"/>
        <v>0</v>
      </c>
    </row>
    <row r="161" spans="13:38" hidden="1" x14ac:dyDescent="0.25">
      <c r="M161" s="3">
        <v>149</v>
      </c>
      <c r="N161" s="3">
        <f t="shared" si="19"/>
        <v>0</v>
      </c>
      <c r="O161" s="6">
        <f t="shared" si="20"/>
        <v>0</v>
      </c>
      <c r="P161" s="6"/>
      <c r="S161" s="23"/>
      <c r="AG161" s="3">
        <v>149</v>
      </c>
      <c r="AI161" s="23">
        <f t="shared" si="21"/>
        <v>0</v>
      </c>
      <c r="AJ161" s="44">
        <f t="shared" si="22"/>
        <v>0</v>
      </c>
      <c r="AL161" s="6">
        <f t="shared" si="23"/>
        <v>0</v>
      </c>
    </row>
    <row r="162" spans="13:38" hidden="1" x14ac:dyDescent="0.25">
      <c r="M162" s="3">
        <v>150</v>
      </c>
      <c r="N162" s="3">
        <f t="shared" si="19"/>
        <v>0</v>
      </c>
      <c r="O162" s="6">
        <f t="shared" si="20"/>
        <v>0</v>
      </c>
      <c r="P162" s="6"/>
      <c r="S162" s="23"/>
      <c r="AG162" s="3">
        <v>150</v>
      </c>
      <c r="AI162" s="23">
        <f t="shared" si="21"/>
        <v>0</v>
      </c>
      <c r="AJ162" s="44">
        <f t="shared" si="22"/>
        <v>0</v>
      </c>
      <c r="AL162" s="6">
        <f t="shared" si="23"/>
        <v>0</v>
      </c>
    </row>
    <row r="163" spans="13:38" hidden="1" x14ac:dyDescent="0.25">
      <c r="M163" s="3">
        <v>151</v>
      </c>
      <c r="N163" s="3">
        <f t="shared" si="19"/>
        <v>0</v>
      </c>
      <c r="O163" s="6">
        <f t="shared" si="20"/>
        <v>0</v>
      </c>
      <c r="P163" s="6"/>
      <c r="S163" s="23"/>
      <c r="AG163" s="3">
        <v>151</v>
      </c>
      <c r="AI163" s="23">
        <f t="shared" si="21"/>
        <v>0</v>
      </c>
      <c r="AJ163" s="44">
        <f t="shared" si="22"/>
        <v>0</v>
      </c>
      <c r="AL163" s="6">
        <f t="shared" si="23"/>
        <v>0</v>
      </c>
    </row>
    <row r="164" spans="13:38" hidden="1" x14ac:dyDescent="0.25">
      <c r="M164" s="3">
        <v>152</v>
      </c>
      <c r="N164" s="3">
        <f t="shared" si="19"/>
        <v>0</v>
      </c>
      <c r="O164" s="6">
        <f t="shared" si="20"/>
        <v>0</v>
      </c>
      <c r="P164" s="6"/>
      <c r="S164" s="23"/>
      <c r="AG164" s="3">
        <v>152</v>
      </c>
      <c r="AI164" s="23">
        <f t="shared" si="21"/>
        <v>0</v>
      </c>
      <c r="AJ164" s="44">
        <f t="shared" si="22"/>
        <v>0</v>
      </c>
      <c r="AL164" s="6">
        <f t="shared" si="23"/>
        <v>0</v>
      </c>
    </row>
    <row r="165" spans="13:38" hidden="1" x14ac:dyDescent="0.25">
      <c r="M165" s="3">
        <v>153</v>
      </c>
      <c r="N165" s="3">
        <f t="shared" si="19"/>
        <v>0</v>
      </c>
      <c r="O165" s="6">
        <f t="shared" si="20"/>
        <v>0</v>
      </c>
      <c r="P165" s="6"/>
      <c r="S165" s="23"/>
      <c r="AG165" s="3">
        <v>153</v>
      </c>
      <c r="AI165" s="23">
        <f t="shared" si="21"/>
        <v>0</v>
      </c>
      <c r="AJ165" s="44">
        <f t="shared" si="22"/>
        <v>0</v>
      </c>
      <c r="AL165" s="6">
        <f t="shared" si="23"/>
        <v>0</v>
      </c>
    </row>
    <row r="166" spans="13:38" hidden="1" x14ac:dyDescent="0.25">
      <c r="M166" s="3">
        <v>154</v>
      </c>
      <c r="N166" s="3">
        <f t="shared" si="19"/>
        <v>0</v>
      </c>
      <c r="O166" s="6">
        <f t="shared" si="20"/>
        <v>0</v>
      </c>
      <c r="P166" s="6"/>
      <c r="S166" s="23"/>
      <c r="AG166" s="3">
        <v>154</v>
      </c>
      <c r="AI166" s="23">
        <f t="shared" si="21"/>
        <v>0</v>
      </c>
      <c r="AJ166" s="44">
        <f t="shared" si="22"/>
        <v>0</v>
      </c>
      <c r="AL166" s="6">
        <f t="shared" si="23"/>
        <v>0</v>
      </c>
    </row>
    <row r="167" spans="13:38" hidden="1" x14ac:dyDescent="0.25">
      <c r="M167" s="3">
        <v>155</v>
      </c>
      <c r="N167" s="3">
        <f t="shared" si="19"/>
        <v>0</v>
      </c>
      <c r="O167" s="6">
        <f t="shared" si="20"/>
        <v>0</v>
      </c>
      <c r="P167" s="6"/>
      <c r="S167" s="23"/>
      <c r="AG167" s="3">
        <v>155</v>
      </c>
      <c r="AI167" s="23">
        <f t="shared" si="21"/>
        <v>0</v>
      </c>
      <c r="AJ167" s="44">
        <f t="shared" si="22"/>
        <v>0</v>
      </c>
      <c r="AL167" s="6">
        <f t="shared" si="23"/>
        <v>0</v>
      </c>
    </row>
    <row r="168" spans="13:38" hidden="1" x14ac:dyDescent="0.25">
      <c r="M168" s="3">
        <v>156</v>
      </c>
      <c r="N168" s="3">
        <f t="shared" si="19"/>
        <v>0</v>
      </c>
      <c r="O168" s="6">
        <f t="shared" si="20"/>
        <v>0</v>
      </c>
      <c r="P168" s="6"/>
      <c r="S168" s="23"/>
      <c r="AG168" s="3">
        <v>156</v>
      </c>
      <c r="AI168" s="23">
        <f t="shared" si="21"/>
        <v>0</v>
      </c>
      <c r="AJ168" s="44">
        <f t="shared" si="22"/>
        <v>0</v>
      </c>
      <c r="AL168" s="6">
        <f t="shared" si="23"/>
        <v>0</v>
      </c>
    </row>
    <row r="169" spans="13:38" hidden="1" x14ac:dyDescent="0.25">
      <c r="M169" s="3">
        <v>157</v>
      </c>
      <c r="N169" s="3">
        <f t="shared" si="19"/>
        <v>0</v>
      </c>
      <c r="O169" s="6">
        <f t="shared" si="20"/>
        <v>0</v>
      </c>
      <c r="P169" s="6"/>
      <c r="S169" s="23"/>
      <c r="AG169" s="3">
        <v>157</v>
      </c>
      <c r="AI169" s="23">
        <f t="shared" si="21"/>
        <v>0</v>
      </c>
      <c r="AJ169" s="44">
        <f t="shared" si="22"/>
        <v>0</v>
      </c>
      <c r="AL169" s="6">
        <f t="shared" si="23"/>
        <v>0</v>
      </c>
    </row>
    <row r="170" spans="13:38" hidden="1" x14ac:dyDescent="0.25">
      <c r="M170" s="3">
        <v>158</v>
      </c>
      <c r="N170" s="3">
        <f t="shared" si="19"/>
        <v>0</v>
      </c>
      <c r="O170" s="6">
        <f t="shared" si="20"/>
        <v>0</v>
      </c>
      <c r="P170" s="6"/>
      <c r="S170" s="23"/>
      <c r="AG170" s="3">
        <v>158</v>
      </c>
      <c r="AI170" s="23">
        <f t="shared" si="21"/>
        <v>0</v>
      </c>
      <c r="AJ170" s="44">
        <f t="shared" si="22"/>
        <v>0</v>
      </c>
      <c r="AL170" s="6">
        <f t="shared" si="23"/>
        <v>0</v>
      </c>
    </row>
    <row r="171" spans="13:38" hidden="1" x14ac:dyDescent="0.25">
      <c r="M171" s="3">
        <v>159</v>
      </c>
      <c r="N171" s="3">
        <f t="shared" si="19"/>
        <v>0</v>
      </c>
      <c r="O171" s="6">
        <f t="shared" si="20"/>
        <v>0</v>
      </c>
      <c r="P171" s="6"/>
      <c r="S171" s="23"/>
      <c r="AG171" s="3">
        <v>159</v>
      </c>
      <c r="AI171" s="23">
        <f t="shared" si="21"/>
        <v>0</v>
      </c>
      <c r="AJ171" s="44">
        <f t="shared" si="22"/>
        <v>0</v>
      </c>
      <c r="AL171" s="6">
        <f t="shared" si="23"/>
        <v>0</v>
      </c>
    </row>
    <row r="172" spans="13:38" hidden="1" x14ac:dyDescent="0.25">
      <c r="M172" s="3">
        <v>160</v>
      </c>
      <c r="N172" s="3">
        <f t="shared" si="19"/>
        <v>0</v>
      </c>
      <c r="O172" s="6">
        <f t="shared" si="20"/>
        <v>0</v>
      </c>
      <c r="P172" s="6"/>
      <c r="S172" s="23"/>
      <c r="AG172" s="3">
        <v>160</v>
      </c>
      <c r="AI172" s="23">
        <f t="shared" si="21"/>
        <v>0</v>
      </c>
      <c r="AJ172" s="44">
        <f t="shared" si="22"/>
        <v>0</v>
      </c>
      <c r="AL172" s="6">
        <f t="shared" si="23"/>
        <v>0</v>
      </c>
    </row>
    <row r="173" spans="13:38" hidden="1" x14ac:dyDescent="0.25">
      <c r="M173" s="3">
        <v>161</v>
      </c>
      <c r="N173" s="3">
        <f t="shared" si="19"/>
        <v>0</v>
      </c>
      <c r="O173" s="6">
        <f t="shared" si="20"/>
        <v>0</v>
      </c>
      <c r="P173" s="6"/>
      <c r="S173" s="23"/>
      <c r="AG173" s="3">
        <v>161</v>
      </c>
      <c r="AI173" s="23">
        <f t="shared" si="21"/>
        <v>0</v>
      </c>
      <c r="AJ173" s="44">
        <f t="shared" si="22"/>
        <v>0</v>
      </c>
      <c r="AL173" s="6">
        <f t="shared" si="23"/>
        <v>0</v>
      </c>
    </row>
    <row r="174" spans="13:38" hidden="1" x14ac:dyDescent="0.25">
      <c r="M174" s="3">
        <v>162</v>
      </c>
      <c r="N174" s="3">
        <f t="shared" si="19"/>
        <v>0</v>
      </c>
      <c r="O174" s="6">
        <f t="shared" si="20"/>
        <v>0</v>
      </c>
      <c r="P174" s="6"/>
      <c r="S174" s="23"/>
      <c r="AG174" s="3">
        <v>162</v>
      </c>
      <c r="AI174" s="23">
        <f t="shared" si="21"/>
        <v>0</v>
      </c>
      <c r="AJ174" s="44">
        <f t="shared" si="22"/>
        <v>0</v>
      </c>
      <c r="AL174" s="6">
        <f t="shared" si="23"/>
        <v>0</v>
      </c>
    </row>
    <row r="175" spans="13:38" hidden="1" x14ac:dyDescent="0.25">
      <c r="M175" s="3">
        <v>163</v>
      </c>
      <c r="N175" s="3">
        <f t="shared" si="19"/>
        <v>0</v>
      </c>
      <c r="O175" s="6">
        <f t="shared" si="20"/>
        <v>0</v>
      </c>
      <c r="P175" s="6"/>
      <c r="S175" s="23"/>
      <c r="AG175" s="3">
        <v>163</v>
      </c>
      <c r="AI175" s="23">
        <f t="shared" si="21"/>
        <v>0</v>
      </c>
      <c r="AJ175" s="44">
        <f t="shared" si="22"/>
        <v>0</v>
      </c>
      <c r="AL175" s="6">
        <f t="shared" si="23"/>
        <v>0</v>
      </c>
    </row>
    <row r="176" spans="13:38" hidden="1" x14ac:dyDescent="0.25">
      <c r="M176" s="3">
        <v>164</v>
      </c>
      <c r="N176" s="3">
        <f t="shared" si="19"/>
        <v>0</v>
      </c>
      <c r="O176" s="6">
        <f t="shared" si="20"/>
        <v>0</v>
      </c>
      <c r="P176" s="6"/>
      <c r="S176" s="23"/>
      <c r="AG176" s="3">
        <v>164</v>
      </c>
      <c r="AI176" s="23">
        <f t="shared" si="21"/>
        <v>0</v>
      </c>
      <c r="AJ176" s="44">
        <f t="shared" si="22"/>
        <v>0</v>
      </c>
      <c r="AL176" s="6">
        <f t="shared" si="23"/>
        <v>0</v>
      </c>
    </row>
    <row r="177" spans="13:38" hidden="1" x14ac:dyDescent="0.25">
      <c r="M177" s="3">
        <v>165</v>
      </c>
      <c r="N177" s="3">
        <f t="shared" si="19"/>
        <v>0</v>
      </c>
      <c r="O177" s="6">
        <f t="shared" si="20"/>
        <v>0</v>
      </c>
      <c r="P177" s="6"/>
      <c r="S177" s="23"/>
      <c r="AG177" s="3">
        <v>165</v>
      </c>
      <c r="AI177" s="23">
        <f t="shared" si="21"/>
        <v>0</v>
      </c>
      <c r="AJ177" s="44">
        <f t="shared" si="22"/>
        <v>0</v>
      </c>
      <c r="AL177" s="6">
        <f t="shared" si="23"/>
        <v>0</v>
      </c>
    </row>
    <row r="178" spans="13:38" hidden="1" x14ac:dyDescent="0.25">
      <c r="M178" s="3">
        <v>166</v>
      </c>
      <c r="N178" s="3">
        <f t="shared" si="19"/>
        <v>0</v>
      </c>
      <c r="O178" s="6">
        <f t="shared" si="20"/>
        <v>0</v>
      </c>
      <c r="P178" s="6"/>
      <c r="S178" s="23"/>
      <c r="AG178" s="3">
        <v>166</v>
      </c>
      <c r="AI178" s="23">
        <f t="shared" si="21"/>
        <v>0</v>
      </c>
      <c r="AJ178" s="44">
        <f t="shared" si="22"/>
        <v>0</v>
      </c>
      <c r="AL178" s="6">
        <f t="shared" si="23"/>
        <v>0</v>
      </c>
    </row>
    <row r="179" spans="13:38" hidden="1" x14ac:dyDescent="0.25">
      <c r="M179" s="3">
        <v>167</v>
      </c>
      <c r="N179" s="3">
        <f t="shared" si="19"/>
        <v>0</v>
      </c>
      <c r="O179" s="6">
        <f t="shared" si="20"/>
        <v>0</v>
      </c>
      <c r="P179" s="6"/>
      <c r="S179" s="23"/>
      <c r="AG179" s="3">
        <v>167</v>
      </c>
      <c r="AI179" s="23">
        <f t="shared" si="21"/>
        <v>0</v>
      </c>
      <c r="AJ179" s="44">
        <f t="shared" si="22"/>
        <v>0</v>
      </c>
      <c r="AL179" s="6">
        <f t="shared" si="23"/>
        <v>0</v>
      </c>
    </row>
    <row r="180" spans="13:38" hidden="1" x14ac:dyDescent="0.25">
      <c r="M180" s="3">
        <v>168</v>
      </c>
      <c r="N180" s="3">
        <f t="shared" si="19"/>
        <v>0</v>
      </c>
      <c r="O180" s="6">
        <f t="shared" si="20"/>
        <v>0</v>
      </c>
      <c r="P180" s="6"/>
      <c r="S180" s="23"/>
      <c r="AG180" s="3">
        <v>168</v>
      </c>
      <c r="AI180" s="23">
        <f t="shared" si="21"/>
        <v>0</v>
      </c>
      <c r="AJ180" s="44">
        <f t="shared" si="22"/>
        <v>0</v>
      </c>
      <c r="AL180" s="6">
        <f t="shared" si="23"/>
        <v>0</v>
      </c>
    </row>
    <row r="181" spans="13:38" hidden="1" x14ac:dyDescent="0.25">
      <c r="M181" s="3">
        <v>169</v>
      </c>
      <c r="N181" s="3">
        <f t="shared" si="19"/>
        <v>0</v>
      </c>
      <c r="O181" s="6">
        <f t="shared" si="20"/>
        <v>0</v>
      </c>
      <c r="P181" s="6"/>
      <c r="S181" s="23"/>
      <c r="AG181" s="3">
        <v>169</v>
      </c>
      <c r="AI181" s="23">
        <f t="shared" si="21"/>
        <v>0</v>
      </c>
      <c r="AJ181" s="44">
        <f t="shared" si="22"/>
        <v>0</v>
      </c>
      <c r="AL181" s="6">
        <f t="shared" si="23"/>
        <v>0</v>
      </c>
    </row>
    <row r="182" spans="13:38" hidden="1" x14ac:dyDescent="0.25">
      <c r="M182" s="3">
        <v>170</v>
      </c>
      <c r="N182" s="3">
        <f t="shared" si="19"/>
        <v>0</v>
      </c>
      <c r="O182" s="6">
        <f t="shared" si="20"/>
        <v>0</v>
      </c>
      <c r="P182" s="6"/>
      <c r="S182" s="23"/>
      <c r="AG182" s="3">
        <v>170</v>
      </c>
      <c r="AI182" s="23">
        <f t="shared" si="21"/>
        <v>0</v>
      </c>
      <c r="AJ182" s="44">
        <f t="shared" si="22"/>
        <v>0</v>
      </c>
      <c r="AL182" s="6">
        <f t="shared" si="23"/>
        <v>0</v>
      </c>
    </row>
    <row r="183" spans="13:38" hidden="1" x14ac:dyDescent="0.25">
      <c r="M183" s="3">
        <v>171</v>
      </c>
      <c r="N183" s="3">
        <f t="shared" si="19"/>
        <v>0</v>
      </c>
      <c r="O183" s="6">
        <f t="shared" si="20"/>
        <v>0</v>
      </c>
      <c r="P183" s="6"/>
      <c r="S183" s="23"/>
      <c r="AG183" s="3">
        <v>171</v>
      </c>
      <c r="AI183" s="23">
        <f t="shared" si="21"/>
        <v>0</v>
      </c>
      <c r="AJ183" s="44">
        <f t="shared" si="22"/>
        <v>0</v>
      </c>
      <c r="AL183" s="6">
        <f t="shared" si="23"/>
        <v>0</v>
      </c>
    </row>
    <row r="184" spans="13:38" hidden="1" x14ac:dyDescent="0.25">
      <c r="M184" s="3">
        <v>172</v>
      </c>
      <c r="N184" s="3">
        <f t="shared" si="19"/>
        <v>0</v>
      </c>
      <c r="O184" s="6">
        <f t="shared" si="20"/>
        <v>0</v>
      </c>
      <c r="P184" s="6"/>
      <c r="S184" s="23"/>
      <c r="AG184" s="3">
        <v>172</v>
      </c>
      <c r="AI184" s="23">
        <f t="shared" si="21"/>
        <v>0</v>
      </c>
      <c r="AJ184" s="44">
        <f t="shared" si="22"/>
        <v>0</v>
      </c>
      <c r="AL184" s="6">
        <f t="shared" si="23"/>
        <v>0</v>
      </c>
    </row>
    <row r="185" spans="13:38" hidden="1" x14ac:dyDescent="0.25">
      <c r="M185" s="3">
        <v>173</v>
      </c>
      <c r="N185" s="3">
        <f t="shared" si="19"/>
        <v>0</v>
      </c>
      <c r="O185" s="6">
        <f t="shared" si="20"/>
        <v>0</v>
      </c>
      <c r="P185" s="6"/>
      <c r="S185" s="23"/>
      <c r="AG185" s="3">
        <v>173</v>
      </c>
      <c r="AI185" s="23">
        <f t="shared" si="21"/>
        <v>0</v>
      </c>
      <c r="AJ185" s="44">
        <f t="shared" si="22"/>
        <v>0</v>
      </c>
      <c r="AL185" s="6">
        <f t="shared" si="23"/>
        <v>0</v>
      </c>
    </row>
    <row r="186" spans="13:38" hidden="1" x14ac:dyDescent="0.25">
      <c r="M186" s="3">
        <v>174</v>
      </c>
      <c r="N186" s="3">
        <f t="shared" si="19"/>
        <v>0</v>
      </c>
      <c r="O186" s="6">
        <f t="shared" si="20"/>
        <v>0</v>
      </c>
      <c r="P186" s="6"/>
      <c r="S186" s="23"/>
      <c r="AG186" s="3">
        <v>174</v>
      </c>
      <c r="AI186" s="23">
        <f t="shared" si="21"/>
        <v>0</v>
      </c>
      <c r="AJ186" s="44">
        <f t="shared" si="22"/>
        <v>0</v>
      </c>
      <c r="AL186" s="6">
        <f t="shared" si="23"/>
        <v>0</v>
      </c>
    </row>
    <row r="187" spans="13:38" hidden="1" x14ac:dyDescent="0.25">
      <c r="M187" s="3">
        <v>175</v>
      </c>
      <c r="N187" s="3">
        <f t="shared" si="19"/>
        <v>0</v>
      </c>
      <c r="O187" s="6">
        <f t="shared" si="20"/>
        <v>0</v>
      </c>
      <c r="P187" s="6"/>
      <c r="S187" s="23"/>
      <c r="AG187" s="3">
        <v>175</v>
      </c>
      <c r="AI187" s="23">
        <f t="shared" si="21"/>
        <v>0</v>
      </c>
      <c r="AJ187" s="44">
        <f t="shared" si="22"/>
        <v>0</v>
      </c>
      <c r="AL187" s="6">
        <f t="shared" si="23"/>
        <v>0</v>
      </c>
    </row>
    <row r="188" spans="13:38" hidden="1" x14ac:dyDescent="0.25">
      <c r="M188" s="3">
        <v>176</v>
      </c>
      <c r="N188" s="3">
        <f t="shared" si="19"/>
        <v>0</v>
      </c>
      <c r="O188" s="6">
        <f t="shared" si="20"/>
        <v>0</v>
      </c>
      <c r="P188" s="6"/>
      <c r="S188" s="23"/>
      <c r="AG188" s="3">
        <v>176</v>
      </c>
      <c r="AI188" s="23">
        <f t="shared" si="21"/>
        <v>0</v>
      </c>
      <c r="AJ188" s="44">
        <f t="shared" si="22"/>
        <v>0</v>
      </c>
      <c r="AL188" s="6">
        <f t="shared" si="23"/>
        <v>0</v>
      </c>
    </row>
    <row r="189" spans="13:38" hidden="1" x14ac:dyDescent="0.25">
      <c r="M189" s="3">
        <v>177</v>
      </c>
      <c r="N189" s="3">
        <f t="shared" si="19"/>
        <v>0</v>
      </c>
      <c r="O189" s="6">
        <f t="shared" si="20"/>
        <v>0</v>
      </c>
      <c r="P189" s="6"/>
      <c r="S189" s="23"/>
      <c r="AG189" s="3">
        <v>177</v>
      </c>
      <c r="AI189" s="23">
        <f t="shared" si="21"/>
        <v>0</v>
      </c>
      <c r="AJ189" s="44">
        <f t="shared" si="22"/>
        <v>0</v>
      </c>
      <c r="AL189" s="6">
        <f t="shared" si="23"/>
        <v>0</v>
      </c>
    </row>
    <row r="190" spans="13:38" hidden="1" x14ac:dyDescent="0.25">
      <c r="M190" s="3">
        <v>178</v>
      </c>
      <c r="N190" s="3">
        <f t="shared" si="19"/>
        <v>0</v>
      </c>
      <c r="O190" s="6">
        <f t="shared" si="20"/>
        <v>0</v>
      </c>
      <c r="P190" s="6"/>
      <c r="S190" s="23"/>
      <c r="AG190" s="3">
        <v>178</v>
      </c>
      <c r="AI190" s="23">
        <f t="shared" si="21"/>
        <v>0</v>
      </c>
      <c r="AJ190" s="44">
        <f t="shared" si="22"/>
        <v>0</v>
      </c>
      <c r="AL190" s="6">
        <f t="shared" si="23"/>
        <v>0</v>
      </c>
    </row>
    <row r="191" spans="13:38" hidden="1" x14ac:dyDescent="0.25">
      <c r="M191" s="3">
        <v>179</v>
      </c>
      <c r="N191" s="3">
        <f t="shared" si="19"/>
        <v>0</v>
      </c>
      <c r="O191" s="6">
        <f t="shared" si="20"/>
        <v>0</v>
      </c>
      <c r="P191" s="6"/>
      <c r="S191" s="23"/>
      <c r="AG191" s="3">
        <v>179</v>
      </c>
      <c r="AI191" s="23">
        <f t="shared" si="21"/>
        <v>0</v>
      </c>
      <c r="AJ191" s="44">
        <f t="shared" si="22"/>
        <v>0</v>
      </c>
      <c r="AL191" s="6">
        <f t="shared" si="23"/>
        <v>0</v>
      </c>
    </row>
    <row r="192" spans="13:38" hidden="1" x14ac:dyDescent="0.25">
      <c r="M192" s="3">
        <v>180</v>
      </c>
      <c r="N192" s="3">
        <f t="shared" si="19"/>
        <v>0</v>
      </c>
      <c r="O192" s="6">
        <f t="shared" si="20"/>
        <v>0</v>
      </c>
      <c r="P192" s="6"/>
      <c r="S192" s="23"/>
      <c r="AG192" s="3">
        <v>180</v>
      </c>
      <c r="AI192" s="23">
        <f t="shared" si="21"/>
        <v>0</v>
      </c>
      <c r="AJ192" s="44">
        <f t="shared" si="22"/>
        <v>0</v>
      </c>
      <c r="AL192" s="6">
        <f t="shared" si="23"/>
        <v>0</v>
      </c>
    </row>
    <row r="193" spans="13:38" hidden="1" x14ac:dyDescent="0.25">
      <c r="M193" s="3">
        <v>181</v>
      </c>
      <c r="N193" s="3">
        <f t="shared" si="19"/>
        <v>0</v>
      </c>
      <c r="O193" s="6">
        <f t="shared" si="20"/>
        <v>0</v>
      </c>
      <c r="P193" s="6"/>
      <c r="S193" s="23"/>
      <c r="AG193" s="3">
        <v>181</v>
      </c>
      <c r="AI193" s="23">
        <f t="shared" si="21"/>
        <v>0</v>
      </c>
      <c r="AJ193" s="44">
        <f t="shared" si="22"/>
        <v>0</v>
      </c>
      <c r="AL193" s="6">
        <f t="shared" si="23"/>
        <v>0</v>
      </c>
    </row>
    <row r="194" spans="13:38" hidden="1" x14ac:dyDescent="0.25">
      <c r="M194" s="3">
        <v>182</v>
      </c>
      <c r="N194" s="3">
        <f t="shared" si="19"/>
        <v>0</v>
      </c>
      <c r="O194" s="6">
        <f t="shared" si="20"/>
        <v>0</v>
      </c>
      <c r="P194" s="6"/>
      <c r="S194" s="23"/>
      <c r="AG194" s="3">
        <v>182</v>
      </c>
      <c r="AI194" s="23">
        <f t="shared" si="21"/>
        <v>0</v>
      </c>
      <c r="AJ194" s="44">
        <f t="shared" si="22"/>
        <v>0</v>
      </c>
      <c r="AL194" s="6">
        <f t="shared" si="23"/>
        <v>0</v>
      </c>
    </row>
    <row r="195" spans="13:38" hidden="1" x14ac:dyDescent="0.25">
      <c r="M195" s="3">
        <v>183</v>
      </c>
      <c r="N195" s="3">
        <f t="shared" si="19"/>
        <v>0</v>
      </c>
      <c r="O195" s="6">
        <f t="shared" si="20"/>
        <v>0</v>
      </c>
      <c r="P195" s="6"/>
      <c r="S195" s="23"/>
      <c r="AG195" s="3">
        <v>183</v>
      </c>
      <c r="AI195" s="23">
        <f t="shared" si="21"/>
        <v>0</v>
      </c>
      <c r="AJ195" s="44">
        <f t="shared" si="22"/>
        <v>0</v>
      </c>
      <c r="AL195" s="6">
        <f t="shared" si="23"/>
        <v>0</v>
      </c>
    </row>
    <row r="196" spans="13:38" hidden="1" x14ac:dyDescent="0.25">
      <c r="M196" s="3">
        <v>184</v>
      </c>
      <c r="N196" s="3">
        <f t="shared" si="19"/>
        <v>0</v>
      </c>
      <c r="O196" s="6">
        <f t="shared" si="20"/>
        <v>0</v>
      </c>
      <c r="P196" s="6"/>
      <c r="S196" s="23"/>
      <c r="AG196" s="3">
        <v>184</v>
      </c>
      <c r="AI196" s="23">
        <f t="shared" si="21"/>
        <v>0</v>
      </c>
      <c r="AJ196" s="44">
        <f t="shared" si="22"/>
        <v>0</v>
      </c>
      <c r="AL196" s="6">
        <f t="shared" si="23"/>
        <v>0</v>
      </c>
    </row>
    <row r="197" spans="13:38" hidden="1" x14ac:dyDescent="0.25">
      <c r="M197" s="3">
        <v>185</v>
      </c>
      <c r="N197" s="3">
        <f t="shared" si="19"/>
        <v>0</v>
      </c>
      <c r="O197" s="6">
        <f t="shared" si="20"/>
        <v>0</v>
      </c>
      <c r="P197" s="6"/>
      <c r="S197" s="23"/>
      <c r="AG197" s="3">
        <v>185</v>
      </c>
      <c r="AI197" s="23">
        <f t="shared" si="21"/>
        <v>0</v>
      </c>
      <c r="AJ197" s="44">
        <f t="shared" si="22"/>
        <v>0</v>
      </c>
      <c r="AL197" s="6">
        <f t="shared" si="23"/>
        <v>0</v>
      </c>
    </row>
    <row r="198" spans="13:38" hidden="1" x14ac:dyDescent="0.25">
      <c r="M198" s="3">
        <v>186</v>
      </c>
      <c r="N198" s="3">
        <f t="shared" si="19"/>
        <v>0</v>
      </c>
      <c r="O198" s="6">
        <f t="shared" si="20"/>
        <v>0</v>
      </c>
      <c r="P198" s="6"/>
      <c r="S198" s="23"/>
      <c r="AG198" s="3">
        <v>186</v>
      </c>
      <c r="AI198" s="23">
        <f t="shared" si="21"/>
        <v>0</v>
      </c>
      <c r="AJ198" s="44">
        <f t="shared" si="22"/>
        <v>0</v>
      </c>
      <c r="AL198" s="6">
        <f t="shared" si="23"/>
        <v>0</v>
      </c>
    </row>
    <row r="199" spans="13:38" hidden="1" x14ac:dyDescent="0.25">
      <c r="M199" s="3">
        <v>187</v>
      </c>
      <c r="N199" s="3">
        <f t="shared" si="19"/>
        <v>0</v>
      </c>
      <c r="O199" s="6">
        <f t="shared" si="20"/>
        <v>0</v>
      </c>
      <c r="P199" s="6"/>
      <c r="S199" s="23"/>
      <c r="AG199" s="3">
        <v>187</v>
      </c>
      <c r="AI199" s="23">
        <f t="shared" si="21"/>
        <v>0</v>
      </c>
      <c r="AJ199" s="44">
        <f t="shared" si="22"/>
        <v>0</v>
      </c>
      <c r="AL199" s="6">
        <f t="shared" si="23"/>
        <v>0</v>
      </c>
    </row>
    <row r="200" spans="13:38" hidden="1" x14ac:dyDescent="0.25">
      <c r="M200" s="3">
        <v>188</v>
      </c>
      <c r="N200" s="3">
        <f t="shared" si="19"/>
        <v>0</v>
      </c>
      <c r="O200" s="6">
        <f t="shared" si="20"/>
        <v>0</v>
      </c>
      <c r="P200" s="6"/>
      <c r="S200" s="23"/>
      <c r="AG200" s="3">
        <v>188</v>
      </c>
      <c r="AI200" s="23">
        <f t="shared" si="21"/>
        <v>0</v>
      </c>
      <c r="AJ200" s="44">
        <f t="shared" si="22"/>
        <v>0</v>
      </c>
      <c r="AL200" s="6">
        <f t="shared" si="23"/>
        <v>0</v>
      </c>
    </row>
    <row r="201" spans="13:38" hidden="1" x14ac:dyDescent="0.25">
      <c r="M201" s="3">
        <v>189</v>
      </c>
      <c r="N201" s="3">
        <f t="shared" si="19"/>
        <v>0</v>
      </c>
      <c r="O201" s="6">
        <f t="shared" si="20"/>
        <v>0</v>
      </c>
      <c r="P201" s="6"/>
      <c r="S201" s="23"/>
      <c r="AG201" s="3">
        <v>189</v>
      </c>
      <c r="AI201" s="23">
        <f t="shared" si="21"/>
        <v>0</v>
      </c>
      <c r="AJ201" s="44">
        <f t="shared" si="22"/>
        <v>0</v>
      </c>
      <c r="AL201" s="6">
        <f t="shared" si="23"/>
        <v>0</v>
      </c>
    </row>
    <row r="202" spans="13:38" hidden="1" x14ac:dyDescent="0.25">
      <c r="M202" s="3">
        <v>190</v>
      </c>
      <c r="N202" s="3">
        <f t="shared" si="19"/>
        <v>0</v>
      </c>
      <c r="O202" s="6">
        <f t="shared" si="20"/>
        <v>0</v>
      </c>
      <c r="P202" s="6"/>
      <c r="S202" s="23"/>
      <c r="AG202" s="3">
        <v>190</v>
      </c>
      <c r="AI202" s="23">
        <f t="shared" si="21"/>
        <v>0</v>
      </c>
      <c r="AJ202" s="44">
        <f t="shared" si="22"/>
        <v>0</v>
      </c>
      <c r="AL202" s="6">
        <f t="shared" si="23"/>
        <v>0</v>
      </c>
    </row>
    <row r="203" spans="13:38" hidden="1" x14ac:dyDescent="0.25">
      <c r="M203" s="3">
        <v>191</v>
      </c>
      <c r="N203" s="3">
        <f t="shared" si="19"/>
        <v>0</v>
      </c>
      <c r="O203" s="6">
        <f t="shared" si="20"/>
        <v>0</v>
      </c>
      <c r="P203" s="6"/>
      <c r="S203" s="23"/>
      <c r="AG203" s="3">
        <v>191</v>
      </c>
      <c r="AI203" s="23">
        <f t="shared" si="21"/>
        <v>0</v>
      </c>
      <c r="AJ203" s="44">
        <f t="shared" si="22"/>
        <v>0</v>
      </c>
      <c r="AL203" s="6">
        <f t="shared" si="23"/>
        <v>0</v>
      </c>
    </row>
    <row r="204" spans="13:38" hidden="1" x14ac:dyDescent="0.25">
      <c r="M204" s="3">
        <v>192</v>
      </c>
      <c r="N204" s="3">
        <f t="shared" si="19"/>
        <v>0</v>
      </c>
      <c r="O204" s="6">
        <f t="shared" si="20"/>
        <v>0</v>
      </c>
      <c r="P204" s="6"/>
      <c r="S204" s="23"/>
      <c r="AG204" s="3">
        <v>192</v>
      </c>
      <c r="AI204" s="23">
        <f t="shared" si="21"/>
        <v>0</v>
      </c>
      <c r="AJ204" s="44">
        <f t="shared" si="22"/>
        <v>0</v>
      </c>
      <c r="AL204" s="6">
        <f t="shared" si="23"/>
        <v>0</v>
      </c>
    </row>
    <row r="205" spans="13:38" hidden="1" x14ac:dyDescent="0.25">
      <c r="M205" s="3">
        <v>193</v>
      </c>
      <c r="N205" s="3">
        <f t="shared" ref="N205:N268" si="24">IF(M205&lt;=IF($T$6=1,$O$8,ROUNDUP($J$8,0)),SIPAmount,0)</f>
        <v>0</v>
      </c>
      <c r="O205" s="6">
        <f t="shared" ref="O205:O268" si="25">FV(SIPRate,M205,-N205,0,1)</f>
        <v>0</v>
      </c>
      <c r="P205" s="6"/>
      <c r="S205" s="23"/>
      <c r="AG205" s="3">
        <v>193</v>
      </c>
      <c r="AI205" s="23">
        <f t="shared" si="21"/>
        <v>0</v>
      </c>
      <c r="AJ205" s="44">
        <f t="shared" si="22"/>
        <v>0</v>
      </c>
      <c r="AL205" s="6">
        <f t="shared" si="23"/>
        <v>0</v>
      </c>
    </row>
    <row r="206" spans="13:38" hidden="1" x14ac:dyDescent="0.25">
      <c r="M206" s="3">
        <v>194</v>
      </c>
      <c r="N206" s="3">
        <f t="shared" si="24"/>
        <v>0</v>
      </c>
      <c r="O206" s="6">
        <f t="shared" si="25"/>
        <v>0</v>
      </c>
      <c r="P206" s="6"/>
      <c r="S206" s="23"/>
      <c r="AG206" s="3">
        <v>194</v>
      </c>
      <c r="AI206" s="23">
        <f t="shared" ref="AI206:AI269" si="26">IF(AG206&lt;=$O$8,FV($O$3,AG206,-$O$5,0,1),0)</f>
        <v>0</v>
      </c>
      <c r="AJ206" s="44">
        <f t="shared" ref="AJ206:AJ269" si="27">IF(OR(AJ205=0,AJ205&gt;=$C$15),0,FV($O$3,AG206,-$C$17,0,1))</f>
        <v>0</v>
      </c>
      <c r="AL206" s="6">
        <f t="shared" ref="AL206:AL269" si="28">O206</f>
        <v>0</v>
      </c>
    </row>
    <row r="207" spans="13:38" hidden="1" x14ac:dyDescent="0.25">
      <c r="M207" s="3">
        <v>195</v>
      </c>
      <c r="N207" s="3">
        <f t="shared" si="24"/>
        <v>0</v>
      </c>
      <c r="O207" s="6">
        <f t="shared" si="25"/>
        <v>0</v>
      </c>
      <c r="P207" s="6"/>
      <c r="S207" s="23"/>
      <c r="AG207" s="3">
        <v>195</v>
      </c>
      <c r="AI207" s="23">
        <f t="shared" si="26"/>
        <v>0</v>
      </c>
      <c r="AJ207" s="44">
        <f t="shared" si="27"/>
        <v>0</v>
      </c>
      <c r="AL207" s="6">
        <f t="shared" si="28"/>
        <v>0</v>
      </c>
    </row>
    <row r="208" spans="13:38" hidden="1" x14ac:dyDescent="0.25">
      <c r="M208" s="3">
        <v>196</v>
      </c>
      <c r="N208" s="3">
        <f t="shared" si="24"/>
        <v>0</v>
      </c>
      <c r="O208" s="6">
        <f t="shared" si="25"/>
        <v>0</v>
      </c>
      <c r="P208" s="6"/>
      <c r="S208" s="23"/>
      <c r="AG208" s="3">
        <v>196</v>
      </c>
      <c r="AI208" s="23">
        <f t="shared" si="26"/>
        <v>0</v>
      </c>
      <c r="AJ208" s="44">
        <f t="shared" si="27"/>
        <v>0</v>
      </c>
      <c r="AL208" s="6">
        <f t="shared" si="28"/>
        <v>0</v>
      </c>
    </row>
    <row r="209" spans="13:38" hidden="1" x14ac:dyDescent="0.25">
      <c r="M209" s="3">
        <v>197</v>
      </c>
      <c r="N209" s="3">
        <f t="shared" si="24"/>
        <v>0</v>
      </c>
      <c r="O209" s="6">
        <f t="shared" si="25"/>
        <v>0</v>
      </c>
      <c r="P209" s="6"/>
      <c r="S209" s="23"/>
      <c r="AG209" s="3">
        <v>197</v>
      </c>
      <c r="AI209" s="23">
        <f t="shared" si="26"/>
        <v>0</v>
      </c>
      <c r="AJ209" s="44">
        <f t="shared" si="27"/>
        <v>0</v>
      </c>
      <c r="AL209" s="6">
        <f t="shared" si="28"/>
        <v>0</v>
      </c>
    </row>
    <row r="210" spans="13:38" hidden="1" x14ac:dyDescent="0.25">
      <c r="M210" s="3">
        <v>198</v>
      </c>
      <c r="N210" s="3">
        <f t="shared" si="24"/>
        <v>0</v>
      </c>
      <c r="O210" s="6">
        <f t="shared" si="25"/>
        <v>0</v>
      </c>
      <c r="P210" s="6"/>
      <c r="S210" s="23"/>
      <c r="AG210" s="3">
        <v>198</v>
      </c>
      <c r="AI210" s="23">
        <f t="shared" si="26"/>
        <v>0</v>
      </c>
      <c r="AJ210" s="44">
        <f t="shared" si="27"/>
        <v>0</v>
      </c>
      <c r="AL210" s="6">
        <f t="shared" si="28"/>
        <v>0</v>
      </c>
    </row>
    <row r="211" spans="13:38" hidden="1" x14ac:dyDescent="0.25">
      <c r="M211" s="3">
        <v>199</v>
      </c>
      <c r="N211" s="3">
        <f t="shared" si="24"/>
        <v>0</v>
      </c>
      <c r="O211" s="6">
        <f t="shared" si="25"/>
        <v>0</v>
      </c>
      <c r="P211" s="6"/>
      <c r="S211" s="23"/>
      <c r="AG211" s="3">
        <v>199</v>
      </c>
      <c r="AI211" s="23">
        <f t="shared" si="26"/>
        <v>0</v>
      </c>
      <c r="AJ211" s="44">
        <f t="shared" si="27"/>
        <v>0</v>
      </c>
      <c r="AL211" s="6">
        <f t="shared" si="28"/>
        <v>0</v>
      </c>
    </row>
    <row r="212" spans="13:38" hidden="1" x14ac:dyDescent="0.25">
      <c r="M212" s="3">
        <v>200</v>
      </c>
      <c r="N212" s="3">
        <f t="shared" si="24"/>
        <v>0</v>
      </c>
      <c r="O212" s="6">
        <f t="shared" si="25"/>
        <v>0</v>
      </c>
      <c r="P212" s="6"/>
      <c r="S212" s="23"/>
      <c r="AG212" s="3">
        <v>200</v>
      </c>
      <c r="AI212" s="23">
        <f t="shared" si="26"/>
        <v>0</v>
      </c>
      <c r="AJ212" s="44">
        <f t="shared" si="27"/>
        <v>0</v>
      </c>
      <c r="AL212" s="6">
        <f t="shared" si="28"/>
        <v>0</v>
      </c>
    </row>
    <row r="213" spans="13:38" hidden="1" x14ac:dyDescent="0.25">
      <c r="M213" s="3">
        <v>201</v>
      </c>
      <c r="N213" s="3">
        <f t="shared" si="24"/>
        <v>0</v>
      </c>
      <c r="O213" s="6">
        <f t="shared" si="25"/>
        <v>0</v>
      </c>
      <c r="P213" s="6"/>
      <c r="S213" s="23"/>
      <c r="AG213" s="3">
        <v>201</v>
      </c>
      <c r="AI213" s="23">
        <f t="shared" si="26"/>
        <v>0</v>
      </c>
      <c r="AJ213" s="44">
        <f t="shared" si="27"/>
        <v>0</v>
      </c>
      <c r="AL213" s="6">
        <f t="shared" si="28"/>
        <v>0</v>
      </c>
    </row>
    <row r="214" spans="13:38" hidden="1" x14ac:dyDescent="0.25">
      <c r="M214" s="3">
        <v>202</v>
      </c>
      <c r="N214" s="3">
        <f t="shared" si="24"/>
        <v>0</v>
      </c>
      <c r="O214" s="6">
        <f t="shared" si="25"/>
        <v>0</v>
      </c>
      <c r="P214" s="6"/>
      <c r="S214" s="23"/>
      <c r="AG214" s="3">
        <v>202</v>
      </c>
      <c r="AI214" s="23">
        <f t="shared" si="26"/>
        <v>0</v>
      </c>
      <c r="AJ214" s="44">
        <f t="shared" si="27"/>
        <v>0</v>
      </c>
      <c r="AL214" s="6">
        <f t="shared" si="28"/>
        <v>0</v>
      </c>
    </row>
    <row r="215" spans="13:38" hidden="1" x14ac:dyDescent="0.25">
      <c r="M215" s="3">
        <v>203</v>
      </c>
      <c r="N215" s="3">
        <f t="shared" si="24"/>
        <v>0</v>
      </c>
      <c r="O215" s="6">
        <f t="shared" si="25"/>
        <v>0</v>
      </c>
      <c r="P215" s="6"/>
      <c r="S215" s="23"/>
      <c r="AG215" s="3">
        <v>203</v>
      </c>
      <c r="AI215" s="23">
        <f t="shared" si="26"/>
        <v>0</v>
      </c>
      <c r="AJ215" s="44">
        <f t="shared" si="27"/>
        <v>0</v>
      </c>
      <c r="AL215" s="6">
        <f t="shared" si="28"/>
        <v>0</v>
      </c>
    </row>
    <row r="216" spans="13:38" hidden="1" x14ac:dyDescent="0.25">
      <c r="M216" s="3">
        <v>204</v>
      </c>
      <c r="N216" s="3">
        <f t="shared" si="24"/>
        <v>0</v>
      </c>
      <c r="O216" s="6">
        <f t="shared" si="25"/>
        <v>0</v>
      </c>
      <c r="P216" s="6"/>
      <c r="S216" s="23"/>
      <c r="AG216" s="3">
        <v>204</v>
      </c>
      <c r="AI216" s="23">
        <f t="shared" si="26"/>
        <v>0</v>
      </c>
      <c r="AJ216" s="44">
        <f t="shared" si="27"/>
        <v>0</v>
      </c>
      <c r="AL216" s="6">
        <f t="shared" si="28"/>
        <v>0</v>
      </c>
    </row>
    <row r="217" spans="13:38" hidden="1" x14ac:dyDescent="0.25">
      <c r="M217" s="3">
        <v>205</v>
      </c>
      <c r="N217" s="3">
        <f t="shared" si="24"/>
        <v>0</v>
      </c>
      <c r="O217" s="6">
        <f t="shared" si="25"/>
        <v>0</v>
      </c>
      <c r="P217" s="6"/>
      <c r="S217" s="23"/>
      <c r="AG217" s="3">
        <v>205</v>
      </c>
      <c r="AI217" s="23">
        <f t="shared" si="26"/>
        <v>0</v>
      </c>
      <c r="AJ217" s="44">
        <f t="shared" si="27"/>
        <v>0</v>
      </c>
      <c r="AL217" s="6">
        <f t="shared" si="28"/>
        <v>0</v>
      </c>
    </row>
    <row r="218" spans="13:38" hidden="1" x14ac:dyDescent="0.25">
      <c r="M218" s="3">
        <v>206</v>
      </c>
      <c r="N218" s="3">
        <f t="shared" si="24"/>
        <v>0</v>
      </c>
      <c r="O218" s="6">
        <f t="shared" si="25"/>
        <v>0</v>
      </c>
      <c r="P218" s="6"/>
      <c r="S218" s="23"/>
      <c r="AG218" s="3">
        <v>206</v>
      </c>
      <c r="AI218" s="23">
        <f t="shared" si="26"/>
        <v>0</v>
      </c>
      <c r="AJ218" s="44">
        <f t="shared" si="27"/>
        <v>0</v>
      </c>
      <c r="AL218" s="6">
        <f t="shared" si="28"/>
        <v>0</v>
      </c>
    </row>
    <row r="219" spans="13:38" hidden="1" x14ac:dyDescent="0.25">
      <c r="M219" s="3">
        <v>207</v>
      </c>
      <c r="N219" s="3">
        <f t="shared" si="24"/>
        <v>0</v>
      </c>
      <c r="O219" s="6">
        <f t="shared" si="25"/>
        <v>0</v>
      </c>
      <c r="P219" s="6"/>
      <c r="S219" s="23"/>
      <c r="AG219" s="3">
        <v>207</v>
      </c>
      <c r="AI219" s="23">
        <f t="shared" si="26"/>
        <v>0</v>
      </c>
      <c r="AJ219" s="44">
        <f t="shared" si="27"/>
        <v>0</v>
      </c>
      <c r="AL219" s="6">
        <f t="shared" si="28"/>
        <v>0</v>
      </c>
    </row>
    <row r="220" spans="13:38" hidden="1" x14ac:dyDescent="0.25">
      <c r="M220" s="3">
        <v>208</v>
      </c>
      <c r="N220" s="3">
        <f t="shared" si="24"/>
        <v>0</v>
      </c>
      <c r="O220" s="6">
        <f t="shared" si="25"/>
        <v>0</v>
      </c>
      <c r="P220" s="6"/>
      <c r="S220" s="23"/>
      <c r="AG220" s="3">
        <v>208</v>
      </c>
      <c r="AI220" s="23">
        <f t="shared" si="26"/>
        <v>0</v>
      </c>
      <c r="AJ220" s="44">
        <f t="shared" si="27"/>
        <v>0</v>
      </c>
      <c r="AL220" s="6">
        <f t="shared" si="28"/>
        <v>0</v>
      </c>
    </row>
    <row r="221" spans="13:38" hidden="1" x14ac:dyDescent="0.25">
      <c r="M221" s="3">
        <v>209</v>
      </c>
      <c r="N221" s="3">
        <f t="shared" si="24"/>
        <v>0</v>
      </c>
      <c r="O221" s="6">
        <f t="shared" si="25"/>
        <v>0</v>
      </c>
      <c r="P221" s="6"/>
      <c r="S221" s="23"/>
      <c r="AG221" s="3">
        <v>209</v>
      </c>
      <c r="AI221" s="23">
        <f t="shared" si="26"/>
        <v>0</v>
      </c>
      <c r="AJ221" s="44">
        <f t="shared" si="27"/>
        <v>0</v>
      </c>
      <c r="AL221" s="6">
        <f t="shared" si="28"/>
        <v>0</v>
      </c>
    </row>
    <row r="222" spans="13:38" hidden="1" x14ac:dyDescent="0.25">
      <c r="M222" s="3">
        <v>210</v>
      </c>
      <c r="N222" s="3">
        <f t="shared" si="24"/>
        <v>0</v>
      </c>
      <c r="O222" s="6">
        <f t="shared" si="25"/>
        <v>0</v>
      </c>
      <c r="P222" s="6"/>
      <c r="S222" s="23"/>
      <c r="AG222" s="3">
        <v>210</v>
      </c>
      <c r="AI222" s="23">
        <f t="shared" si="26"/>
        <v>0</v>
      </c>
      <c r="AJ222" s="44">
        <f t="shared" si="27"/>
        <v>0</v>
      </c>
      <c r="AL222" s="6">
        <f t="shared" si="28"/>
        <v>0</v>
      </c>
    </row>
    <row r="223" spans="13:38" hidden="1" x14ac:dyDescent="0.25">
      <c r="M223" s="3">
        <v>211</v>
      </c>
      <c r="N223" s="3">
        <f t="shared" si="24"/>
        <v>0</v>
      </c>
      <c r="O223" s="6">
        <f t="shared" si="25"/>
        <v>0</v>
      </c>
      <c r="P223" s="6"/>
      <c r="S223" s="23"/>
      <c r="AG223" s="3">
        <v>211</v>
      </c>
      <c r="AI223" s="23">
        <f t="shared" si="26"/>
        <v>0</v>
      </c>
      <c r="AJ223" s="44">
        <f t="shared" si="27"/>
        <v>0</v>
      </c>
      <c r="AL223" s="6">
        <f t="shared" si="28"/>
        <v>0</v>
      </c>
    </row>
    <row r="224" spans="13:38" hidden="1" x14ac:dyDescent="0.25">
      <c r="M224" s="3">
        <v>212</v>
      </c>
      <c r="N224" s="3">
        <f t="shared" si="24"/>
        <v>0</v>
      </c>
      <c r="O224" s="6">
        <f t="shared" si="25"/>
        <v>0</v>
      </c>
      <c r="P224" s="6"/>
      <c r="S224" s="23"/>
      <c r="AG224" s="3">
        <v>212</v>
      </c>
      <c r="AI224" s="23">
        <f t="shared" si="26"/>
        <v>0</v>
      </c>
      <c r="AJ224" s="44">
        <f t="shared" si="27"/>
        <v>0</v>
      </c>
      <c r="AL224" s="6">
        <f t="shared" si="28"/>
        <v>0</v>
      </c>
    </row>
    <row r="225" spans="13:38" hidden="1" x14ac:dyDescent="0.25">
      <c r="M225" s="3">
        <v>213</v>
      </c>
      <c r="N225" s="3">
        <f t="shared" si="24"/>
        <v>0</v>
      </c>
      <c r="O225" s="6">
        <f t="shared" si="25"/>
        <v>0</v>
      </c>
      <c r="P225" s="6"/>
      <c r="S225" s="23"/>
      <c r="AG225" s="3">
        <v>213</v>
      </c>
      <c r="AI225" s="23">
        <f t="shared" si="26"/>
        <v>0</v>
      </c>
      <c r="AJ225" s="44">
        <f t="shared" si="27"/>
        <v>0</v>
      </c>
      <c r="AL225" s="6">
        <f t="shared" si="28"/>
        <v>0</v>
      </c>
    </row>
    <row r="226" spans="13:38" hidden="1" x14ac:dyDescent="0.25">
      <c r="M226" s="3">
        <v>214</v>
      </c>
      <c r="N226" s="3">
        <f t="shared" si="24"/>
        <v>0</v>
      </c>
      <c r="O226" s="6">
        <f t="shared" si="25"/>
        <v>0</v>
      </c>
      <c r="P226" s="6"/>
      <c r="S226" s="23"/>
      <c r="AG226" s="3">
        <v>214</v>
      </c>
      <c r="AI226" s="23">
        <f t="shared" si="26"/>
        <v>0</v>
      </c>
      <c r="AJ226" s="44">
        <f t="shared" si="27"/>
        <v>0</v>
      </c>
      <c r="AL226" s="6">
        <f t="shared" si="28"/>
        <v>0</v>
      </c>
    </row>
    <row r="227" spans="13:38" hidden="1" x14ac:dyDescent="0.25">
      <c r="M227" s="3">
        <v>215</v>
      </c>
      <c r="N227" s="3">
        <f t="shared" si="24"/>
        <v>0</v>
      </c>
      <c r="O227" s="6">
        <f t="shared" si="25"/>
        <v>0</v>
      </c>
      <c r="P227" s="6"/>
      <c r="S227" s="23"/>
      <c r="AG227" s="3">
        <v>215</v>
      </c>
      <c r="AI227" s="23">
        <f t="shared" si="26"/>
        <v>0</v>
      </c>
      <c r="AJ227" s="44">
        <f t="shared" si="27"/>
        <v>0</v>
      </c>
      <c r="AL227" s="6">
        <f t="shared" si="28"/>
        <v>0</v>
      </c>
    </row>
    <row r="228" spans="13:38" hidden="1" x14ac:dyDescent="0.25">
      <c r="M228" s="3">
        <v>216</v>
      </c>
      <c r="N228" s="3">
        <f t="shared" si="24"/>
        <v>0</v>
      </c>
      <c r="O228" s="6">
        <f t="shared" si="25"/>
        <v>0</v>
      </c>
      <c r="P228" s="6"/>
      <c r="S228" s="23"/>
      <c r="AG228" s="3">
        <v>216</v>
      </c>
      <c r="AI228" s="23">
        <f t="shared" si="26"/>
        <v>0</v>
      </c>
      <c r="AJ228" s="44">
        <f t="shared" si="27"/>
        <v>0</v>
      </c>
      <c r="AL228" s="6">
        <f t="shared" si="28"/>
        <v>0</v>
      </c>
    </row>
    <row r="229" spans="13:38" hidden="1" x14ac:dyDescent="0.25">
      <c r="M229" s="3">
        <v>217</v>
      </c>
      <c r="N229" s="3">
        <f t="shared" si="24"/>
        <v>0</v>
      </c>
      <c r="O229" s="6">
        <f t="shared" si="25"/>
        <v>0</v>
      </c>
      <c r="P229" s="6"/>
      <c r="S229" s="23"/>
      <c r="AG229" s="3">
        <v>217</v>
      </c>
      <c r="AI229" s="23">
        <f t="shared" si="26"/>
        <v>0</v>
      </c>
      <c r="AJ229" s="44">
        <f t="shared" si="27"/>
        <v>0</v>
      </c>
      <c r="AL229" s="6">
        <f t="shared" si="28"/>
        <v>0</v>
      </c>
    </row>
    <row r="230" spans="13:38" hidden="1" x14ac:dyDescent="0.25">
      <c r="M230" s="3">
        <v>218</v>
      </c>
      <c r="N230" s="3">
        <f t="shared" si="24"/>
        <v>0</v>
      </c>
      <c r="O230" s="6">
        <f t="shared" si="25"/>
        <v>0</v>
      </c>
      <c r="P230" s="6"/>
      <c r="S230" s="23"/>
      <c r="AG230" s="3">
        <v>218</v>
      </c>
      <c r="AI230" s="23">
        <f t="shared" si="26"/>
        <v>0</v>
      </c>
      <c r="AJ230" s="44">
        <f t="shared" si="27"/>
        <v>0</v>
      </c>
      <c r="AL230" s="6">
        <f t="shared" si="28"/>
        <v>0</v>
      </c>
    </row>
    <row r="231" spans="13:38" hidden="1" x14ac:dyDescent="0.25">
      <c r="M231" s="3">
        <v>219</v>
      </c>
      <c r="N231" s="3">
        <f t="shared" si="24"/>
        <v>0</v>
      </c>
      <c r="O231" s="6">
        <f t="shared" si="25"/>
        <v>0</v>
      </c>
      <c r="P231" s="6"/>
      <c r="S231" s="23"/>
      <c r="AG231" s="3">
        <v>219</v>
      </c>
      <c r="AI231" s="23">
        <f t="shared" si="26"/>
        <v>0</v>
      </c>
      <c r="AJ231" s="44">
        <f t="shared" si="27"/>
        <v>0</v>
      </c>
      <c r="AL231" s="6">
        <f t="shared" si="28"/>
        <v>0</v>
      </c>
    </row>
    <row r="232" spans="13:38" hidden="1" x14ac:dyDescent="0.25">
      <c r="M232" s="3">
        <v>220</v>
      </c>
      <c r="N232" s="3">
        <f t="shared" si="24"/>
        <v>0</v>
      </c>
      <c r="O232" s="6">
        <f t="shared" si="25"/>
        <v>0</v>
      </c>
      <c r="P232" s="6"/>
      <c r="S232" s="23"/>
      <c r="AG232" s="3">
        <v>220</v>
      </c>
      <c r="AI232" s="23">
        <f t="shared" si="26"/>
        <v>0</v>
      </c>
      <c r="AJ232" s="44">
        <f t="shared" si="27"/>
        <v>0</v>
      </c>
      <c r="AL232" s="6">
        <f t="shared" si="28"/>
        <v>0</v>
      </c>
    </row>
    <row r="233" spans="13:38" hidden="1" x14ac:dyDescent="0.25">
      <c r="M233" s="3">
        <v>221</v>
      </c>
      <c r="N233" s="3">
        <f t="shared" si="24"/>
        <v>0</v>
      </c>
      <c r="O233" s="6">
        <f t="shared" si="25"/>
        <v>0</v>
      </c>
      <c r="P233" s="6"/>
      <c r="S233" s="23"/>
      <c r="AG233" s="3">
        <v>221</v>
      </c>
      <c r="AI233" s="23">
        <f t="shared" si="26"/>
        <v>0</v>
      </c>
      <c r="AJ233" s="44">
        <f t="shared" si="27"/>
        <v>0</v>
      </c>
      <c r="AL233" s="6">
        <f t="shared" si="28"/>
        <v>0</v>
      </c>
    </row>
    <row r="234" spans="13:38" hidden="1" x14ac:dyDescent="0.25">
      <c r="M234" s="3">
        <v>222</v>
      </c>
      <c r="N234" s="3">
        <f t="shared" si="24"/>
        <v>0</v>
      </c>
      <c r="O234" s="6">
        <f t="shared" si="25"/>
        <v>0</v>
      </c>
      <c r="P234" s="6"/>
      <c r="S234" s="23"/>
      <c r="AG234" s="3">
        <v>222</v>
      </c>
      <c r="AI234" s="23">
        <f t="shared" si="26"/>
        <v>0</v>
      </c>
      <c r="AJ234" s="44">
        <f t="shared" si="27"/>
        <v>0</v>
      </c>
      <c r="AL234" s="6">
        <f t="shared" si="28"/>
        <v>0</v>
      </c>
    </row>
    <row r="235" spans="13:38" hidden="1" x14ac:dyDescent="0.25">
      <c r="M235" s="3">
        <v>223</v>
      </c>
      <c r="N235" s="3">
        <f t="shared" si="24"/>
        <v>0</v>
      </c>
      <c r="O235" s="6">
        <f t="shared" si="25"/>
        <v>0</v>
      </c>
      <c r="P235" s="6"/>
      <c r="S235" s="23"/>
      <c r="AG235" s="3">
        <v>223</v>
      </c>
      <c r="AI235" s="23">
        <f t="shared" si="26"/>
        <v>0</v>
      </c>
      <c r="AJ235" s="44">
        <f t="shared" si="27"/>
        <v>0</v>
      </c>
      <c r="AL235" s="6">
        <f t="shared" si="28"/>
        <v>0</v>
      </c>
    </row>
    <row r="236" spans="13:38" hidden="1" x14ac:dyDescent="0.25">
      <c r="M236" s="3">
        <v>224</v>
      </c>
      <c r="N236" s="3">
        <f t="shared" si="24"/>
        <v>0</v>
      </c>
      <c r="O236" s="6">
        <f t="shared" si="25"/>
        <v>0</v>
      </c>
      <c r="P236" s="6"/>
      <c r="S236" s="23"/>
      <c r="AG236" s="3">
        <v>224</v>
      </c>
      <c r="AI236" s="23">
        <f t="shared" si="26"/>
        <v>0</v>
      </c>
      <c r="AJ236" s="44">
        <f t="shared" si="27"/>
        <v>0</v>
      </c>
      <c r="AL236" s="6">
        <f t="shared" si="28"/>
        <v>0</v>
      </c>
    </row>
    <row r="237" spans="13:38" hidden="1" x14ac:dyDescent="0.25">
      <c r="M237" s="3">
        <v>225</v>
      </c>
      <c r="N237" s="3">
        <f t="shared" si="24"/>
        <v>0</v>
      </c>
      <c r="O237" s="6">
        <f t="shared" si="25"/>
        <v>0</v>
      </c>
      <c r="P237" s="6"/>
      <c r="S237" s="23"/>
      <c r="AG237" s="3">
        <v>225</v>
      </c>
      <c r="AI237" s="23">
        <f t="shared" si="26"/>
        <v>0</v>
      </c>
      <c r="AJ237" s="44">
        <f t="shared" si="27"/>
        <v>0</v>
      </c>
      <c r="AL237" s="6">
        <f t="shared" si="28"/>
        <v>0</v>
      </c>
    </row>
    <row r="238" spans="13:38" hidden="1" x14ac:dyDescent="0.25">
      <c r="M238" s="3">
        <v>226</v>
      </c>
      <c r="N238" s="3">
        <f t="shared" si="24"/>
        <v>0</v>
      </c>
      <c r="O238" s="6">
        <f t="shared" si="25"/>
        <v>0</v>
      </c>
      <c r="P238" s="6"/>
      <c r="S238" s="23"/>
      <c r="AG238" s="3">
        <v>226</v>
      </c>
      <c r="AI238" s="23">
        <f t="shared" si="26"/>
        <v>0</v>
      </c>
      <c r="AJ238" s="44">
        <f t="shared" si="27"/>
        <v>0</v>
      </c>
      <c r="AL238" s="6">
        <f t="shared" si="28"/>
        <v>0</v>
      </c>
    </row>
    <row r="239" spans="13:38" hidden="1" x14ac:dyDescent="0.25">
      <c r="M239" s="3">
        <v>227</v>
      </c>
      <c r="N239" s="3">
        <f t="shared" si="24"/>
        <v>0</v>
      </c>
      <c r="O239" s="6">
        <f t="shared" si="25"/>
        <v>0</v>
      </c>
      <c r="P239" s="6"/>
      <c r="S239" s="23"/>
      <c r="AG239" s="3">
        <v>227</v>
      </c>
      <c r="AI239" s="23">
        <f t="shared" si="26"/>
        <v>0</v>
      </c>
      <c r="AJ239" s="44">
        <f t="shared" si="27"/>
        <v>0</v>
      </c>
      <c r="AL239" s="6">
        <f t="shared" si="28"/>
        <v>0</v>
      </c>
    </row>
    <row r="240" spans="13:38" hidden="1" x14ac:dyDescent="0.25">
      <c r="M240" s="3">
        <v>228</v>
      </c>
      <c r="N240" s="3">
        <f t="shared" si="24"/>
        <v>0</v>
      </c>
      <c r="O240" s="6">
        <f t="shared" si="25"/>
        <v>0</v>
      </c>
      <c r="P240" s="6"/>
      <c r="S240" s="23"/>
      <c r="AG240" s="3">
        <v>228</v>
      </c>
      <c r="AI240" s="23">
        <f t="shared" si="26"/>
        <v>0</v>
      </c>
      <c r="AJ240" s="44">
        <f t="shared" si="27"/>
        <v>0</v>
      </c>
      <c r="AL240" s="6">
        <f t="shared" si="28"/>
        <v>0</v>
      </c>
    </row>
    <row r="241" spans="13:38" hidden="1" x14ac:dyDescent="0.25">
      <c r="M241" s="3">
        <v>229</v>
      </c>
      <c r="N241" s="3">
        <f t="shared" si="24"/>
        <v>0</v>
      </c>
      <c r="O241" s="6">
        <f t="shared" si="25"/>
        <v>0</v>
      </c>
      <c r="P241" s="6"/>
      <c r="S241" s="23"/>
      <c r="AG241" s="3">
        <v>229</v>
      </c>
      <c r="AI241" s="23">
        <f t="shared" si="26"/>
        <v>0</v>
      </c>
      <c r="AJ241" s="44">
        <f t="shared" si="27"/>
        <v>0</v>
      </c>
      <c r="AL241" s="6">
        <f t="shared" si="28"/>
        <v>0</v>
      </c>
    </row>
    <row r="242" spans="13:38" hidden="1" x14ac:dyDescent="0.25">
      <c r="M242" s="3">
        <v>230</v>
      </c>
      <c r="N242" s="3">
        <f t="shared" si="24"/>
        <v>0</v>
      </c>
      <c r="O242" s="6">
        <f t="shared" si="25"/>
        <v>0</v>
      </c>
      <c r="P242" s="6"/>
      <c r="S242" s="23"/>
      <c r="AG242" s="3">
        <v>230</v>
      </c>
      <c r="AI242" s="23">
        <f t="shared" si="26"/>
        <v>0</v>
      </c>
      <c r="AJ242" s="44">
        <f t="shared" si="27"/>
        <v>0</v>
      </c>
      <c r="AL242" s="6">
        <f t="shared" si="28"/>
        <v>0</v>
      </c>
    </row>
    <row r="243" spans="13:38" hidden="1" x14ac:dyDescent="0.25">
      <c r="M243" s="3">
        <v>231</v>
      </c>
      <c r="N243" s="3">
        <f t="shared" si="24"/>
        <v>0</v>
      </c>
      <c r="O243" s="6">
        <f t="shared" si="25"/>
        <v>0</v>
      </c>
      <c r="P243" s="6"/>
      <c r="S243" s="23"/>
      <c r="AG243" s="3">
        <v>231</v>
      </c>
      <c r="AI243" s="23">
        <f t="shared" si="26"/>
        <v>0</v>
      </c>
      <c r="AJ243" s="44">
        <f t="shared" si="27"/>
        <v>0</v>
      </c>
      <c r="AL243" s="6">
        <f t="shared" si="28"/>
        <v>0</v>
      </c>
    </row>
    <row r="244" spans="13:38" hidden="1" x14ac:dyDescent="0.25">
      <c r="M244" s="3">
        <v>232</v>
      </c>
      <c r="N244" s="3">
        <f t="shared" si="24"/>
        <v>0</v>
      </c>
      <c r="O244" s="6">
        <f t="shared" si="25"/>
        <v>0</v>
      </c>
      <c r="P244" s="6"/>
      <c r="S244" s="23"/>
      <c r="AG244" s="3">
        <v>232</v>
      </c>
      <c r="AI244" s="23">
        <f t="shared" si="26"/>
        <v>0</v>
      </c>
      <c r="AJ244" s="44">
        <f t="shared" si="27"/>
        <v>0</v>
      </c>
      <c r="AL244" s="6">
        <f t="shared" si="28"/>
        <v>0</v>
      </c>
    </row>
    <row r="245" spans="13:38" hidden="1" x14ac:dyDescent="0.25">
      <c r="M245" s="3">
        <v>233</v>
      </c>
      <c r="N245" s="3">
        <f t="shared" si="24"/>
        <v>0</v>
      </c>
      <c r="O245" s="6">
        <f t="shared" si="25"/>
        <v>0</v>
      </c>
      <c r="P245" s="6"/>
      <c r="S245" s="23"/>
      <c r="AG245" s="3">
        <v>233</v>
      </c>
      <c r="AI245" s="23">
        <f t="shared" si="26"/>
        <v>0</v>
      </c>
      <c r="AJ245" s="44">
        <f t="shared" si="27"/>
        <v>0</v>
      </c>
      <c r="AL245" s="6">
        <f t="shared" si="28"/>
        <v>0</v>
      </c>
    </row>
    <row r="246" spans="13:38" hidden="1" x14ac:dyDescent="0.25">
      <c r="M246" s="3">
        <v>234</v>
      </c>
      <c r="N246" s="3">
        <f t="shared" si="24"/>
        <v>0</v>
      </c>
      <c r="O246" s="6">
        <f t="shared" si="25"/>
        <v>0</v>
      </c>
      <c r="P246" s="6"/>
      <c r="S246" s="23"/>
      <c r="AG246" s="3">
        <v>234</v>
      </c>
      <c r="AI246" s="23">
        <f t="shared" si="26"/>
        <v>0</v>
      </c>
      <c r="AJ246" s="44">
        <f t="shared" si="27"/>
        <v>0</v>
      </c>
      <c r="AL246" s="6">
        <f t="shared" si="28"/>
        <v>0</v>
      </c>
    </row>
    <row r="247" spans="13:38" hidden="1" x14ac:dyDescent="0.25">
      <c r="M247" s="3">
        <v>235</v>
      </c>
      <c r="N247" s="3">
        <f t="shared" si="24"/>
        <v>0</v>
      </c>
      <c r="O247" s="6">
        <f t="shared" si="25"/>
        <v>0</v>
      </c>
      <c r="P247" s="6"/>
      <c r="S247" s="23"/>
      <c r="AG247" s="3">
        <v>235</v>
      </c>
      <c r="AI247" s="23">
        <f t="shared" si="26"/>
        <v>0</v>
      </c>
      <c r="AJ247" s="44">
        <f t="shared" si="27"/>
        <v>0</v>
      </c>
      <c r="AL247" s="6">
        <f t="shared" si="28"/>
        <v>0</v>
      </c>
    </row>
    <row r="248" spans="13:38" hidden="1" x14ac:dyDescent="0.25">
      <c r="M248" s="3">
        <v>236</v>
      </c>
      <c r="N248" s="3">
        <f t="shared" si="24"/>
        <v>0</v>
      </c>
      <c r="O248" s="6">
        <f t="shared" si="25"/>
        <v>0</v>
      </c>
      <c r="P248" s="6"/>
      <c r="S248" s="23"/>
      <c r="AG248" s="3">
        <v>236</v>
      </c>
      <c r="AI248" s="23">
        <f t="shared" si="26"/>
        <v>0</v>
      </c>
      <c r="AJ248" s="44">
        <f t="shared" si="27"/>
        <v>0</v>
      </c>
      <c r="AL248" s="6">
        <f t="shared" si="28"/>
        <v>0</v>
      </c>
    </row>
    <row r="249" spans="13:38" hidden="1" x14ac:dyDescent="0.25">
      <c r="M249" s="3">
        <v>237</v>
      </c>
      <c r="N249" s="3">
        <f t="shared" si="24"/>
        <v>0</v>
      </c>
      <c r="O249" s="6">
        <f t="shared" si="25"/>
        <v>0</v>
      </c>
      <c r="P249" s="6"/>
      <c r="S249" s="23"/>
      <c r="AG249" s="3">
        <v>237</v>
      </c>
      <c r="AI249" s="23">
        <f t="shared" si="26"/>
        <v>0</v>
      </c>
      <c r="AJ249" s="44">
        <f t="shared" si="27"/>
        <v>0</v>
      </c>
      <c r="AL249" s="6">
        <f t="shared" si="28"/>
        <v>0</v>
      </c>
    </row>
    <row r="250" spans="13:38" hidden="1" x14ac:dyDescent="0.25">
      <c r="M250" s="3">
        <v>238</v>
      </c>
      <c r="N250" s="3">
        <f t="shared" si="24"/>
        <v>0</v>
      </c>
      <c r="O250" s="6">
        <f t="shared" si="25"/>
        <v>0</v>
      </c>
      <c r="P250" s="6"/>
      <c r="S250" s="23"/>
      <c r="AG250" s="3">
        <v>238</v>
      </c>
      <c r="AI250" s="23">
        <f t="shared" si="26"/>
        <v>0</v>
      </c>
      <c r="AJ250" s="44">
        <f t="shared" si="27"/>
        <v>0</v>
      </c>
      <c r="AL250" s="6">
        <f t="shared" si="28"/>
        <v>0</v>
      </c>
    </row>
    <row r="251" spans="13:38" hidden="1" x14ac:dyDescent="0.25">
      <c r="M251" s="3">
        <v>239</v>
      </c>
      <c r="N251" s="3">
        <f t="shared" si="24"/>
        <v>0</v>
      </c>
      <c r="O251" s="6">
        <f t="shared" si="25"/>
        <v>0</v>
      </c>
      <c r="P251" s="6"/>
      <c r="S251" s="23"/>
      <c r="AG251" s="3">
        <v>239</v>
      </c>
      <c r="AI251" s="23">
        <f t="shared" si="26"/>
        <v>0</v>
      </c>
      <c r="AJ251" s="44">
        <f t="shared" si="27"/>
        <v>0</v>
      </c>
      <c r="AL251" s="6">
        <f t="shared" si="28"/>
        <v>0</v>
      </c>
    </row>
    <row r="252" spans="13:38" hidden="1" x14ac:dyDescent="0.25">
      <c r="M252" s="3">
        <v>240</v>
      </c>
      <c r="N252" s="3">
        <f t="shared" si="24"/>
        <v>0</v>
      </c>
      <c r="O252" s="6">
        <f t="shared" si="25"/>
        <v>0</v>
      </c>
      <c r="P252" s="6"/>
      <c r="S252" s="23"/>
      <c r="AG252" s="3">
        <v>240</v>
      </c>
      <c r="AI252" s="23">
        <f t="shared" si="26"/>
        <v>0</v>
      </c>
      <c r="AJ252" s="44">
        <f t="shared" si="27"/>
        <v>0</v>
      </c>
      <c r="AL252" s="6">
        <f t="shared" si="28"/>
        <v>0</v>
      </c>
    </row>
    <row r="253" spans="13:38" hidden="1" x14ac:dyDescent="0.25">
      <c r="M253" s="3">
        <v>241</v>
      </c>
      <c r="N253" s="3">
        <f t="shared" si="24"/>
        <v>0</v>
      </c>
      <c r="O253" s="6">
        <f t="shared" si="25"/>
        <v>0</v>
      </c>
      <c r="P253" s="6"/>
      <c r="S253" s="23"/>
      <c r="AG253" s="3">
        <v>241</v>
      </c>
      <c r="AI253" s="23">
        <f t="shared" si="26"/>
        <v>0</v>
      </c>
      <c r="AJ253" s="44">
        <f t="shared" si="27"/>
        <v>0</v>
      </c>
      <c r="AL253" s="6">
        <f t="shared" si="28"/>
        <v>0</v>
      </c>
    </row>
    <row r="254" spans="13:38" hidden="1" x14ac:dyDescent="0.25">
      <c r="M254" s="3">
        <v>242</v>
      </c>
      <c r="N254" s="3">
        <f t="shared" si="24"/>
        <v>0</v>
      </c>
      <c r="O254" s="6">
        <f t="shared" si="25"/>
        <v>0</v>
      </c>
      <c r="P254" s="6"/>
      <c r="S254" s="23"/>
      <c r="AG254" s="3">
        <v>242</v>
      </c>
      <c r="AI254" s="23">
        <f t="shared" si="26"/>
        <v>0</v>
      </c>
      <c r="AJ254" s="44">
        <f t="shared" si="27"/>
        <v>0</v>
      </c>
      <c r="AL254" s="6">
        <f t="shared" si="28"/>
        <v>0</v>
      </c>
    </row>
    <row r="255" spans="13:38" hidden="1" x14ac:dyDescent="0.25">
      <c r="M255" s="3">
        <v>243</v>
      </c>
      <c r="N255" s="3">
        <f t="shared" si="24"/>
        <v>0</v>
      </c>
      <c r="O255" s="6">
        <f t="shared" si="25"/>
        <v>0</v>
      </c>
      <c r="P255" s="6"/>
      <c r="S255" s="23"/>
      <c r="AG255" s="3">
        <v>243</v>
      </c>
      <c r="AI255" s="23">
        <f t="shared" si="26"/>
        <v>0</v>
      </c>
      <c r="AJ255" s="44">
        <f t="shared" si="27"/>
        <v>0</v>
      </c>
      <c r="AL255" s="6">
        <f t="shared" si="28"/>
        <v>0</v>
      </c>
    </row>
    <row r="256" spans="13:38" hidden="1" x14ac:dyDescent="0.25">
      <c r="M256" s="3">
        <v>244</v>
      </c>
      <c r="N256" s="3">
        <f t="shared" si="24"/>
        <v>0</v>
      </c>
      <c r="O256" s="6">
        <f t="shared" si="25"/>
        <v>0</v>
      </c>
      <c r="P256" s="6"/>
      <c r="S256" s="23"/>
      <c r="AG256" s="3">
        <v>244</v>
      </c>
      <c r="AI256" s="23">
        <f t="shared" si="26"/>
        <v>0</v>
      </c>
      <c r="AJ256" s="44">
        <f t="shared" si="27"/>
        <v>0</v>
      </c>
      <c r="AL256" s="6">
        <f t="shared" si="28"/>
        <v>0</v>
      </c>
    </row>
    <row r="257" spans="13:38" hidden="1" x14ac:dyDescent="0.25">
      <c r="M257" s="3">
        <v>245</v>
      </c>
      <c r="N257" s="3">
        <f t="shared" si="24"/>
        <v>0</v>
      </c>
      <c r="O257" s="6">
        <f t="shared" si="25"/>
        <v>0</v>
      </c>
      <c r="P257" s="6"/>
      <c r="S257" s="23"/>
      <c r="AG257" s="3">
        <v>245</v>
      </c>
      <c r="AI257" s="23">
        <f t="shared" si="26"/>
        <v>0</v>
      </c>
      <c r="AJ257" s="44">
        <f t="shared" si="27"/>
        <v>0</v>
      </c>
      <c r="AL257" s="6">
        <f t="shared" si="28"/>
        <v>0</v>
      </c>
    </row>
    <row r="258" spans="13:38" hidden="1" x14ac:dyDescent="0.25">
      <c r="M258" s="3">
        <v>246</v>
      </c>
      <c r="N258" s="3">
        <f t="shared" si="24"/>
        <v>0</v>
      </c>
      <c r="O258" s="6">
        <f t="shared" si="25"/>
        <v>0</v>
      </c>
      <c r="P258" s="6"/>
      <c r="S258" s="23"/>
      <c r="AG258" s="3">
        <v>246</v>
      </c>
      <c r="AI258" s="23">
        <f t="shared" si="26"/>
        <v>0</v>
      </c>
      <c r="AJ258" s="44">
        <f t="shared" si="27"/>
        <v>0</v>
      </c>
      <c r="AL258" s="6">
        <f t="shared" si="28"/>
        <v>0</v>
      </c>
    </row>
    <row r="259" spans="13:38" hidden="1" x14ac:dyDescent="0.25">
      <c r="M259" s="3">
        <v>247</v>
      </c>
      <c r="N259" s="3">
        <f t="shared" si="24"/>
        <v>0</v>
      </c>
      <c r="O259" s="6">
        <f t="shared" si="25"/>
        <v>0</v>
      </c>
      <c r="P259" s="6"/>
      <c r="S259" s="23"/>
      <c r="AG259" s="3">
        <v>247</v>
      </c>
      <c r="AI259" s="23">
        <f t="shared" si="26"/>
        <v>0</v>
      </c>
      <c r="AJ259" s="44">
        <f t="shared" si="27"/>
        <v>0</v>
      </c>
      <c r="AL259" s="6">
        <f t="shared" si="28"/>
        <v>0</v>
      </c>
    </row>
    <row r="260" spans="13:38" hidden="1" x14ac:dyDescent="0.25">
      <c r="M260" s="3">
        <v>248</v>
      </c>
      <c r="N260" s="3">
        <f t="shared" si="24"/>
        <v>0</v>
      </c>
      <c r="O260" s="6">
        <f t="shared" si="25"/>
        <v>0</v>
      </c>
      <c r="P260" s="6"/>
      <c r="S260" s="23"/>
      <c r="AG260" s="3">
        <v>248</v>
      </c>
      <c r="AI260" s="23">
        <f t="shared" si="26"/>
        <v>0</v>
      </c>
      <c r="AJ260" s="44">
        <f t="shared" si="27"/>
        <v>0</v>
      </c>
      <c r="AL260" s="6">
        <f t="shared" si="28"/>
        <v>0</v>
      </c>
    </row>
    <row r="261" spans="13:38" hidden="1" x14ac:dyDescent="0.25">
      <c r="M261" s="3">
        <v>249</v>
      </c>
      <c r="N261" s="3">
        <f t="shared" si="24"/>
        <v>0</v>
      </c>
      <c r="O261" s="6">
        <f t="shared" si="25"/>
        <v>0</v>
      </c>
      <c r="P261" s="6"/>
      <c r="S261" s="23"/>
      <c r="AG261" s="3">
        <v>249</v>
      </c>
      <c r="AI261" s="23">
        <f t="shared" si="26"/>
        <v>0</v>
      </c>
      <c r="AJ261" s="44">
        <f t="shared" si="27"/>
        <v>0</v>
      </c>
      <c r="AL261" s="6">
        <f t="shared" si="28"/>
        <v>0</v>
      </c>
    </row>
    <row r="262" spans="13:38" hidden="1" x14ac:dyDescent="0.25">
      <c r="M262" s="3">
        <v>250</v>
      </c>
      <c r="N262" s="3">
        <f t="shared" si="24"/>
        <v>0</v>
      </c>
      <c r="O262" s="6">
        <f t="shared" si="25"/>
        <v>0</v>
      </c>
      <c r="P262" s="6"/>
      <c r="S262" s="23"/>
      <c r="AG262" s="3">
        <v>250</v>
      </c>
      <c r="AI262" s="23">
        <f t="shared" si="26"/>
        <v>0</v>
      </c>
      <c r="AJ262" s="44">
        <f t="shared" si="27"/>
        <v>0</v>
      </c>
      <c r="AL262" s="6">
        <f t="shared" si="28"/>
        <v>0</v>
      </c>
    </row>
    <row r="263" spans="13:38" hidden="1" x14ac:dyDescent="0.25">
      <c r="M263" s="3">
        <v>251</v>
      </c>
      <c r="N263" s="3">
        <f t="shared" si="24"/>
        <v>0</v>
      </c>
      <c r="O263" s="6">
        <f t="shared" si="25"/>
        <v>0</v>
      </c>
      <c r="P263" s="6"/>
      <c r="S263" s="23"/>
      <c r="AG263" s="3">
        <v>251</v>
      </c>
      <c r="AI263" s="23">
        <f t="shared" si="26"/>
        <v>0</v>
      </c>
      <c r="AJ263" s="44">
        <f t="shared" si="27"/>
        <v>0</v>
      </c>
      <c r="AL263" s="6">
        <f t="shared" si="28"/>
        <v>0</v>
      </c>
    </row>
    <row r="264" spans="13:38" hidden="1" x14ac:dyDescent="0.25">
      <c r="M264" s="3">
        <v>252</v>
      </c>
      <c r="N264" s="3">
        <f t="shared" si="24"/>
        <v>0</v>
      </c>
      <c r="O264" s="6">
        <f t="shared" si="25"/>
        <v>0</v>
      </c>
      <c r="P264" s="6"/>
      <c r="S264" s="23"/>
      <c r="AG264" s="3">
        <v>252</v>
      </c>
      <c r="AI264" s="23">
        <f t="shared" si="26"/>
        <v>0</v>
      </c>
      <c r="AJ264" s="44">
        <f t="shared" si="27"/>
        <v>0</v>
      </c>
      <c r="AL264" s="6">
        <f t="shared" si="28"/>
        <v>0</v>
      </c>
    </row>
    <row r="265" spans="13:38" hidden="1" x14ac:dyDescent="0.25">
      <c r="M265" s="3">
        <v>253</v>
      </c>
      <c r="N265" s="3">
        <f t="shared" si="24"/>
        <v>0</v>
      </c>
      <c r="O265" s="6">
        <f t="shared" si="25"/>
        <v>0</v>
      </c>
      <c r="P265" s="6"/>
      <c r="S265" s="23"/>
      <c r="AG265" s="3">
        <v>253</v>
      </c>
      <c r="AI265" s="23">
        <f t="shared" si="26"/>
        <v>0</v>
      </c>
      <c r="AJ265" s="44">
        <f t="shared" si="27"/>
        <v>0</v>
      </c>
      <c r="AL265" s="6">
        <f t="shared" si="28"/>
        <v>0</v>
      </c>
    </row>
    <row r="266" spans="13:38" hidden="1" x14ac:dyDescent="0.25">
      <c r="M266" s="3">
        <v>254</v>
      </c>
      <c r="N266" s="3">
        <f t="shared" si="24"/>
        <v>0</v>
      </c>
      <c r="O266" s="6">
        <f t="shared" si="25"/>
        <v>0</v>
      </c>
      <c r="P266" s="6"/>
      <c r="S266" s="23"/>
      <c r="AG266" s="3">
        <v>254</v>
      </c>
      <c r="AI266" s="23">
        <f t="shared" si="26"/>
        <v>0</v>
      </c>
      <c r="AJ266" s="44">
        <f t="shared" si="27"/>
        <v>0</v>
      </c>
      <c r="AL266" s="6">
        <f t="shared" si="28"/>
        <v>0</v>
      </c>
    </row>
    <row r="267" spans="13:38" hidden="1" x14ac:dyDescent="0.25">
      <c r="M267" s="3">
        <v>255</v>
      </c>
      <c r="N267" s="3">
        <f t="shared" si="24"/>
        <v>0</v>
      </c>
      <c r="O267" s="6">
        <f t="shared" si="25"/>
        <v>0</v>
      </c>
      <c r="P267" s="6"/>
      <c r="S267" s="23"/>
      <c r="AG267" s="3">
        <v>255</v>
      </c>
      <c r="AI267" s="23">
        <f t="shared" si="26"/>
        <v>0</v>
      </c>
      <c r="AJ267" s="44">
        <f t="shared" si="27"/>
        <v>0</v>
      </c>
      <c r="AL267" s="6">
        <f t="shared" si="28"/>
        <v>0</v>
      </c>
    </row>
    <row r="268" spans="13:38" hidden="1" x14ac:dyDescent="0.25">
      <c r="M268" s="3">
        <v>256</v>
      </c>
      <c r="N268" s="3">
        <f t="shared" si="24"/>
        <v>0</v>
      </c>
      <c r="O268" s="6">
        <f t="shared" si="25"/>
        <v>0</v>
      </c>
      <c r="P268" s="6"/>
      <c r="S268" s="23"/>
      <c r="AG268" s="3">
        <v>256</v>
      </c>
      <c r="AI268" s="23">
        <f t="shared" si="26"/>
        <v>0</v>
      </c>
      <c r="AJ268" s="44">
        <f t="shared" si="27"/>
        <v>0</v>
      </c>
      <c r="AL268" s="6">
        <f t="shared" si="28"/>
        <v>0</v>
      </c>
    </row>
    <row r="269" spans="13:38" hidden="1" x14ac:dyDescent="0.25">
      <c r="M269" s="3">
        <v>257</v>
      </c>
      <c r="N269" s="3">
        <f t="shared" ref="N269:N332" si="29">IF(M269&lt;=IF($T$6=1,$O$8,ROUNDUP($J$8,0)),SIPAmount,0)</f>
        <v>0</v>
      </c>
      <c r="O269" s="6">
        <f t="shared" ref="O269:O332" si="30">FV(SIPRate,M269,-N269,0,1)</f>
        <v>0</v>
      </c>
      <c r="P269" s="6"/>
      <c r="S269" s="23"/>
      <c r="AG269" s="3">
        <v>257</v>
      </c>
      <c r="AI269" s="23">
        <f t="shared" si="26"/>
        <v>0</v>
      </c>
      <c r="AJ269" s="44">
        <f t="shared" si="27"/>
        <v>0</v>
      </c>
      <c r="AL269" s="6">
        <f t="shared" si="28"/>
        <v>0</v>
      </c>
    </row>
    <row r="270" spans="13:38" hidden="1" x14ac:dyDescent="0.25">
      <c r="M270" s="3">
        <v>258</v>
      </c>
      <c r="N270" s="3">
        <f t="shared" si="29"/>
        <v>0</v>
      </c>
      <c r="O270" s="6">
        <f t="shared" si="30"/>
        <v>0</v>
      </c>
      <c r="P270" s="6"/>
      <c r="S270" s="23"/>
      <c r="AG270" s="3">
        <v>258</v>
      </c>
      <c r="AI270" s="23">
        <f t="shared" ref="AI270:AI333" si="31">IF(AG270&lt;=$O$8,FV($O$3,AG270,-$O$5,0,1),0)</f>
        <v>0</v>
      </c>
      <c r="AJ270" s="44">
        <f t="shared" ref="AJ270:AJ333" si="32">IF(OR(AJ269=0,AJ269&gt;=$C$15),0,FV($O$3,AG270,-$C$17,0,1))</f>
        <v>0</v>
      </c>
      <c r="AL270" s="6">
        <f t="shared" ref="AL270:AL333" si="33">O270</f>
        <v>0</v>
      </c>
    </row>
    <row r="271" spans="13:38" hidden="1" x14ac:dyDescent="0.25">
      <c r="M271" s="3">
        <v>259</v>
      </c>
      <c r="N271" s="3">
        <f t="shared" si="29"/>
        <v>0</v>
      </c>
      <c r="O271" s="6">
        <f t="shared" si="30"/>
        <v>0</v>
      </c>
      <c r="P271" s="6"/>
      <c r="S271" s="23"/>
      <c r="AG271" s="3">
        <v>259</v>
      </c>
      <c r="AI271" s="23">
        <f t="shared" si="31"/>
        <v>0</v>
      </c>
      <c r="AJ271" s="44">
        <f t="shared" si="32"/>
        <v>0</v>
      </c>
      <c r="AL271" s="6">
        <f t="shared" si="33"/>
        <v>0</v>
      </c>
    </row>
    <row r="272" spans="13:38" hidden="1" x14ac:dyDescent="0.25">
      <c r="M272" s="3">
        <v>260</v>
      </c>
      <c r="N272" s="3">
        <f t="shared" si="29"/>
        <v>0</v>
      </c>
      <c r="O272" s="6">
        <f t="shared" si="30"/>
        <v>0</v>
      </c>
      <c r="P272" s="6"/>
      <c r="S272" s="23"/>
      <c r="AG272" s="3">
        <v>260</v>
      </c>
      <c r="AI272" s="23">
        <f t="shared" si="31"/>
        <v>0</v>
      </c>
      <c r="AJ272" s="44">
        <f t="shared" si="32"/>
        <v>0</v>
      </c>
      <c r="AL272" s="6">
        <f t="shared" si="33"/>
        <v>0</v>
      </c>
    </row>
    <row r="273" spans="13:38" hidden="1" x14ac:dyDescent="0.25">
      <c r="M273" s="3">
        <v>261</v>
      </c>
      <c r="N273" s="3">
        <f t="shared" si="29"/>
        <v>0</v>
      </c>
      <c r="O273" s="6">
        <f t="shared" si="30"/>
        <v>0</v>
      </c>
      <c r="P273" s="6"/>
      <c r="S273" s="23"/>
      <c r="AG273" s="3">
        <v>261</v>
      </c>
      <c r="AI273" s="23">
        <f t="shared" si="31"/>
        <v>0</v>
      </c>
      <c r="AJ273" s="44">
        <f t="shared" si="32"/>
        <v>0</v>
      </c>
      <c r="AL273" s="6">
        <f t="shared" si="33"/>
        <v>0</v>
      </c>
    </row>
    <row r="274" spans="13:38" hidden="1" x14ac:dyDescent="0.25">
      <c r="M274" s="3">
        <v>262</v>
      </c>
      <c r="N274" s="3">
        <f t="shared" si="29"/>
        <v>0</v>
      </c>
      <c r="O274" s="6">
        <f t="shared" si="30"/>
        <v>0</v>
      </c>
      <c r="P274" s="6"/>
      <c r="S274" s="23"/>
      <c r="AG274" s="3">
        <v>262</v>
      </c>
      <c r="AI274" s="23">
        <f t="shared" si="31"/>
        <v>0</v>
      </c>
      <c r="AJ274" s="44">
        <f t="shared" si="32"/>
        <v>0</v>
      </c>
      <c r="AL274" s="6">
        <f t="shared" si="33"/>
        <v>0</v>
      </c>
    </row>
    <row r="275" spans="13:38" hidden="1" x14ac:dyDescent="0.25">
      <c r="M275" s="3">
        <v>263</v>
      </c>
      <c r="N275" s="3">
        <f t="shared" si="29"/>
        <v>0</v>
      </c>
      <c r="O275" s="6">
        <f t="shared" si="30"/>
        <v>0</v>
      </c>
      <c r="P275" s="6"/>
      <c r="S275" s="23"/>
      <c r="AG275" s="3">
        <v>263</v>
      </c>
      <c r="AI275" s="23">
        <f t="shared" si="31"/>
        <v>0</v>
      </c>
      <c r="AJ275" s="44">
        <f t="shared" si="32"/>
        <v>0</v>
      </c>
      <c r="AL275" s="6">
        <f t="shared" si="33"/>
        <v>0</v>
      </c>
    </row>
    <row r="276" spans="13:38" hidden="1" x14ac:dyDescent="0.25">
      <c r="M276" s="3">
        <v>264</v>
      </c>
      <c r="N276" s="3">
        <f t="shared" si="29"/>
        <v>0</v>
      </c>
      <c r="O276" s="6">
        <f t="shared" si="30"/>
        <v>0</v>
      </c>
      <c r="P276" s="6"/>
      <c r="S276" s="23"/>
      <c r="AG276" s="3">
        <v>264</v>
      </c>
      <c r="AI276" s="23">
        <f t="shared" si="31"/>
        <v>0</v>
      </c>
      <c r="AJ276" s="44">
        <f t="shared" si="32"/>
        <v>0</v>
      </c>
      <c r="AL276" s="6">
        <f t="shared" si="33"/>
        <v>0</v>
      </c>
    </row>
    <row r="277" spans="13:38" hidden="1" x14ac:dyDescent="0.25">
      <c r="M277" s="3">
        <v>265</v>
      </c>
      <c r="N277" s="3">
        <f t="shared" si="29"/>
        <v>0</v>
      </c>
      <c r="O277" s="6">
        <f t="shared" si="30"/>
        <v>0</v>
      </c>
      <c r="P277" s="6"/>
      <c r="S277" s="23"/>
      <c r="AG277" s="3">
        <v>265</v>
      </c>
      <c r="AI277" s="23">
        <f t="shared" si="31"/>
        <v>0</v>
      </c>
      <c r="AJ277" s="44">
        <f t="shared" si="32"/>
        <v>0</v>
      </c>
      <c r="AL277" s="6">
        <f t="shared" si="33"/>
        <v>0</v>
      </c>
    </row>
    <row r="278" spans="13:38" hidden="1" x14ac:dyDescent="0.25">
      <c r="M278" s="3">
        <v>266</v>
      </c>
      <c r="N278" s="3">
        <f t="shared" si="29"/>
        <v>0</v>
      </c>
      <c r="O278" s="6">
        <f t="shared" si="30"/>
        <v>0</v>
      </c>
      <c r="P278" s="6"/>
      <c r="S278" s="23"/>
      <c r="AG278" s="3">
        <v>266</v>
      </c>
      <c r="AI278" s="23">
        <f t="shared" si="31"/>
        <v>0</v>
      </c>
      <c r="AJ278" s="44">
        <f t="shared" si="32"/>
        <v>0</v>
      </c>
      <c r="AL278" s="6">
        <f t="shared" si="33"/>
        <v>0</v>
      </c>
    </row>
    <row r="279" spans="13:38" hidden="1" x14ac:dyDescent="0.25">
      <c r="M279" s="3">
        <v>267</v>
      </c>
      <c r="N279" s="3">
        <f t="shared" si="29"/>
        <v>0</v>
      </c>
      <c r="O279" s="6">
        <f t="shared" si="30"/>
        <v>0</v>
      </c>
      <c r="P279" s="6"/>
      <c r="S279" s="23"/>
      <c r="AG279" s="3">
        <v>267</v>
      </c>
      <c r="AI279" s="23">
        <f t="shared" si="31"/>
        <v>0</v>
      </c>
      <c r="AJ279" s="44">
        <f t="shared" si="32"/>
        <v>0</v>
      </c>
      <c r="AL279" s="6">
        <f t="shared" si="33"/>
        <v>0</v>
      </c>
    </row>
    <row r="280" spans="13:38" hidden="1" x14ac:dyDescent="0.25">
      <c r="M280" s="3">
        <v>268</v>
      </c>
      <c r="N280" s="3">
        <f t="shared" si="29"/>
        <v>0</v>
      </c>
      <c r="O280" s="6">
        <f t="shared" si="30"/>
        <v>0</v>
      </c>
      <c r="P280" s="6"/>
      <c r="S280" s="23"/>
      <c r="AG280" s="3">
        <v>268</v>
      </c>
      <c r="AI280" s="23">
        <f t="shared" si="31"/>
        <v>0</v>
      </c>
      <c r="AJ280" s="44">
        <f t="shared" si="32"/>
        <v>0</v>
      </c>
      <c r="AL280" s="6">
        <f t="shared" si="33"/>
        <v>0</v>
      </c>
    </row>
    <row r="281" spans="13:38" hidden="1" x14ac:dyDescent="0.25">
      <c r="M281" s="3">
        <v>269</v>
      </c>
      <c r="N281" s="3">
        <f t="shared" si="29"/>
        <v>0</v>
      </c>
      <c r="O281" s="6">
        <f t="shared" si="30"/>
        <v>0</v>
      </c>
      <c r="P281" s="6"/>
      <c r="S281" s="23"/>
      <c r="AG281" s="3">
        <v>269</v>
      </c>
      <c r="AI281" s="23">
        <f t="shared" si="31"/>
        <v>0</v>
      </c>
      <c r="AJ281" s="44">
        <f t="shared" si="32"/>
        <v>0</v>
      </c>
      <c r="AL281" s="6">
        <f t="shared" si="33"/>
        <v>0</v>
      </c>
    </row>
    <row r="282" spans="13:38" hidden="1" x14ac:dyDescent="0.25">
      <c r="M282" s="3">
        <v>270</v>
      </c>
      <c r="N282" s="3">
        <f t="shared" si="29"/>
        <v>0</v>
      </c>
      <c r="O282" s="6">
        <f t="shared" si="30"/>
        <v>0</v>
      </c>
      <c r="P282" s="6"/>
      <c r="S282" s="23"/>
      <c r="AG282" s="3">
        <v>270</v>
      </c>
      <c r="AI282" s="23">
        <f t="shared" si="31"/>
        <v>0</v>
      </c>
      <c r="AJ282" s="44">
        <f t="shared" si="32"/>
        <v>0</v>
      </c>
      <c r="AL282" s="6">
        <f t="shared" si="33"/>
        <v>0</v>
      </c>
    </row>
    <row r="283" spans="13:38" hidden="1" x14ac:dyDescent="0.25">
      <c r="M283" s="3">
        <v>271</v>
      </c>
      <c r="N283" s="3">
        <f t="shared" si="29"/>
        <v>0</v>
      </c>
      <c r="O283" s="6">
        <f t="shared" si="30"/>
        <v>0</v>
      </c>
      <c r="P283" s="6"/>
      <c r="S283" s="23"/>
      <c r="AG283" s="3">
        <v>271</v>
      </c>
      <c r="AI283" s="23">
        <f t="shared" si="31"/>
        <v>0</v>
      </c>
      <c r="AJ283" s="44">
        <f t="shared" si="32"/>
        <v>0</v>
      </c>
      <c r="AL283" s="6">
        <f t="shared" si="33"/>
        <v>0</v>
      </c>
    </row>
    <row r="284" spans="13:38" hidden="1" x14ac:dyDescent="0.25">
      <c r="M284" s="3">
        <v>272</v>
      </c>
      <c r="N284" s="3">
        <f t="shared" si="29"/>
        <v>0</v>
      </c>
      <c r="O284" s="6">
        <f t="shared" si="30"/>
        <v>0</v>
      </c>
      <c r="P284" s="6"/>
      <c r="S284" s="23"/>
      <c r="AG284" s="3">
        <v>272</v>
      </c>
      <c r="AI284" s="23">
        <f t="shared" si="31"/>
        <v>0</v>
      </c>
      <c r="AJ284" s="44">
        <f t="shared" si="32"/>
        <v>0</v>
      </c>
      <c r="AL284" s="6">
        <f t="shared" si="33"/>
        <v>0</v>
      </c>
    </row>
    <row r="285" spans="13:38" hidden="1" x14ac:dyDescent="0.25">
      <c r="M285" s="3">
        <v>273</v>
      </c>
      <c r="N285" s="3">
        <f t="shared" si="29"/>
        <v>0</v>
      </c>
      <c r="O285" s="6">
        <f t="shared" si="30"/>
        <v>0</v>
      </c>
      <c r="P285" s="6"/>
      <c r="S285" s="23"/>
      <c r="AG285" s="3">
        <v>273</v>
      </c>
      <c r="AI285" s="23">
        <f t="shared" si="31"/>
        <v>0</v>
      </c>
      <c r="AJ285" s="44">
        <f t="shared" si="32"/>
        <v>0</v>
      </c>
      <c r="AL285" s="6">
        <f t="shared" si="33"/>
        <v>0</v>
      </c>
    </row>
    <row r="286" spans="13:38" hidden="1" x14ac:dyDescent="0.25">
      <c r="M286" s="3">
        <v>274</v>
      </c>
      <c r="N286" s="3">
        <f t="shared" si="29"/>
        <v>0</v>
      </c>
      <c r="O286" s="6">
        <f t="shared" si="30"/>
        <v>0</v>
      </c>
      <c r="P286" s="6"/>
      <c r="S286" s="23"/>
      <c r="AG286" s="3">
        <v>274</v>
      </c>
      <c r="AI286" s="23">
        <f t="shared" si="31"/>
        <v>0</v>
      </c>
      <c r="AJ286" s="44">
        <f t="shared" si="32"/>
        <v>0</v>
      </c>
      <c r="AL286" s="6">
        <f t="shared" si="33"/>
        <v>0</v>
      </c>
    </row>
    <row r="287" spans="13:38" hidden="1" x14ac:dyDescent="0.25">
      <c r="M287" s="3">
        <v>275</v>
      </c>
      <c r="N287" s="3">
        <f t="shared" si="29"/>
        <v>0</v>
      </c>
      <c r="O287" s="6">
        <f t="shared" si="30"/>
        <v>0</v>
      </c>
      <c r="P287" s="6"/>
      <c r="S287" s="23"/>
      <c r="AG287" s="3">
        <v>275</v>
      </c>
      <c r="AI287" s="23">
        <f t="shared" si="31"/>
        <v>0</v>
      </c>
      <c r="AJ287" s="44">
        <f t="shared" si="32"/>
        <v>0</v>
      </c>
      <c r="AL287" s="6">
        <f t="shared" si="33"/>
        <v>0</v>
      </c>
    </row>
    <row r="288" spans="13:38" hidden="1" x14ac:dyDescent="0.25">
      <c r="M288" s="3">
        <v>276</v>
      </c>
      <c r="N288" s="3">
        <f t="shared" si="29"/>
        <v>0</v>
      </c>
      <c r="O288" s="6">
        <f t="shared" si="30"/>
        <v>0</v>
      </c>
      <c r="P288" s="6"/>
      <c r="S288" s="23"/>
      <c r="AG288" s="3">
        <v>276</v>
      </c>
      <c r="AI288" s="23">
        <f t="shared" si="31"/>
        <v>0</v>
      </c>
      <c r="AJ288" s="44">
        <f t="shared" si="32"/>
        <v>0</v>
      </c>
      <c r="AL288" s="6">
        <f t="shared" si="33"/>
        <v>0</v>
      </c>
    </row>
    <row r="289" spans="13:38" hidden="1" x14ac:dyDescent="0.25">
      <c r="M289" s="3">
        <v>277</v>
      </c>
      <c r="N289" s="3">
        <f t="shared" si="29"/>
        <v>0</v>
      </c>
      <c r="O289" s="6">
        <f t="shared" si="30"/>
        <v>0</v>
      </c>
      <c r="P289" s="6"/>
      <c r="S289" s="23"/>
      <c r="AG289" s="3">
        <v>277</v>
      </c>
      <c r="AI289" s="23">
        <f t="shared" si="31"/>
        <v>0</v>
      </c>
      <c r="AJ289" s="44">
        <f t="shared" si="32"/>
        <v>0</v>
      </c>
      <c r="AL289" s="6">
        <f t="shared" si="33"/>
        <v>0</v>
      </c>
    </row>
    <row r="290" spans="13:38" hidden="1" x14ac:dyDescent="0.25">
      <c r="M290" s="3">
        <v>278</v>
      </c>
      <c r="N290" s="3">
        <f t="shared" si="29"/>
        <v>0</v>
      </c>
      <c r="O290" s="6">
        <f t="shared" si="30"/>
        <v>0</v>
      </c>
      <c r="P290" s="6"/>
      <c r="S290" s="23"/>
      <c r="AG290" s="3">
        <v>278</v>
      </c>
      <c r="AI290" s="23">
        <f t="shared" si="31"/>
        <v>0</v>
      </c>
      <c r="AJ290" s="44">
        <f t="shared" si="32"/>
        <v>0</v>
      </c>
      <c r="AL290" s="6">
        <f t="shared" si="33"/>
        <v>0</v>
      </c>
    </row>
    <row r="291" spans="13:38" hidden="1" x14ac:dyDescent="0.25">
      <c r="M291" s="3">
        <v>279</v>
      </c>
      <c r="N291" s="3">
        <f t="shared" si="29"/>
        <v>0</v>
      </c>
      <c r="O291" s="6">
        <f t="shared" si="30"/>
        <v>0</v>
      </c>
      <c r="P291" s="6"/>
      <c r="S291" s="23"/>
      <c r="AG291" s="3">
        <v>279</v>
      </c>
      <c r="AI291" s="23">
        <f t="shared" si="31"/>
        <v>0</v>
      </c>
      <c r="AJ291" s="44">
        <f t="shared" si="32"/>
        <v>0</v>
      </c>
      <c r="AL291" s="6">
        <f t="shared" si="33"/>
        <v>0</v>
      </c>
    </row>
    <row r="292" spans="13:38" hidden="1" x14ac:dyDescent="0.25">
      <c r="M292" s="3">
        <v>280</v>
      </c>
      <c r="N292" s="3">
        <f t="shared" si="29"/>
        <v>0</v>
      </c>
      <c r="O292" s="6">
        <f t="shared" si="30"/>
        <v>0</v>
      </c>
      <c r="P292" s="6"/>
      <c r="S292" s="23"/>
      <c r="AG292" s="3">
        <v>280</v>
      </c>
      <c r="AI292" s="23">
        <f t="shared" si="31"/>
        <v>0</v>
      </c>
      <c r="AJ292" s="44">
        <f t="shared" si="32"/>
        <v>0</v>
      </c>
      <c r="AL292" s="6">
        <f t="shared" si="33"/>
        <v>0</v>
      </c>
    </row>
    <row r="293" spans="13:38" hidden="1" x14ac:dyDescent="0.25">
      <c r="M293" s="3">
        <v>281</v>
      </c>
      <c r="N293" s="3">
        <f t="shared" si="29"/>
        <v>0</v>
      </c>
      <c r="O293" s="6">
        <f t="shared" si="30"/>
        <v>0</v>
      </c>
      <c r="P293" s="6"/>
      <c r="S293" s="23"/>
      <c r="AG293" s="3">
        <v>281</v>
      </c>
      <c r="AI293" s="23">
        <f t="shared" si="31"/>
        <v>0</v>
      </c>
      <c r="AJ293" s="44">
        <f t="shared" si="32"/>
        <v>0</v>
      </c>
      <c r="AL293" s="6">
        <f t="shared" si="33"/>
        <v>0</v>
      </c>
    </row>
    <row r="294" spans="13:38" hidden="1" x14ac:dyDescent="0.25">
      <c r="M294" s="3">
        <v>282</v>
      </c>
      <c r="N294" s="3">
        <f t="shared" si="29"/>
        <v>0</v>
      </c>
      <c r="O294" s="6">
        <f t="shared" si="30"/>
        <v>0</v>
      </c>
      <c r="P294" s="6"/>
      <c r="S294" s="23"/>
      <c r="AG294" s="3">
        <v>282</v>
      </c>
      <c r="AI294" s="23">
        <f t="shared" si="31"/>
        <v>0</v>
      </c>
      <c r="AJ294" s="44">
        <f t="shared" si="32"/>
        <v>0</v>
      </c>
      <c r="AL294" s="6">
        <f t="shared" si="33"/>
        <v>0</v>
      </c>
    </row>
    <row r="295" spans="13:38" hidden="1" x14ac:dyDescent="0.25">
      <c r="M295" s="3">
        <v>283</v>
      </c>
      <c r="N295" s="3">
        <f t="shared" si="29"/>
        <v>0</v>
      </c>
      <c r="O295" s="6">
        <f t="shared" si="30"/>
        <v>0</v>
      </c>
      <c r="P295" s="6"/>
      <c r="S295" s="23"/>
      <c r="AG295" s="3">
        <v>283</v>
      </c>
      <c r="AI295" s="23">
        <f t="shared" si="31"/>
        <v>0</v>
      </c>
      <c r="AJ295" s="44">
        <f t="shared" si="32"/>
        <v>0</v>
      </c>
      <c r="AL295" s="6">
        <f t="shared" si="33"/>
        <v>0</v>
      </c>
    </row>
    <row r="296" spans="13:38" hidden="1" x14ac:dyDescent="0.25">
      <c r="M296" s="3">
        <v>284</v>
      </c>
      <c r="N296" s="3">
        <f t="shared" si="29"/>
        <v>0</v>
      </c>
      <c r="O296" s="6">
        <f t="shared" si="30"/>
        <v>0</v>
      </c>
      <c r="P296" s="6"/>
      <c r="S296" s="23"/>
      <c r="AG296" s="3">
        <v>284</v>
      </c>
      <c r="AI296" s="23">
        <f t="shared" si="31"/>
        <v>0</v>
      </c>
      <c r="AJ296" s="44">
        <f t="shared" si="32"/>
        <v>0</v>
      </c>
      <c r="AL296" s="6">
        <f t="shared" si="33"/>
        <v>0</v>
      </c>
    </row>
    <row r="297" spans="13:38" hidden="1" x14ac:dyDescent="0.25">
      <c r="M297" s="3">
        <v>285</v>
      </c>
      <c r="N297" s="3">
        <f t="shared" si="29"/>
        <v>0</v>
      </c>
      <c r="O297" s="6">
        <f t="shared" si="30"/>
        <v>0</v>
      </c>
      <c r="P297" s="6"/>
      <c r="S297" s="23"/>
      <c r="AG297" s="3">
        <v>285</v>
      </c>
      <c r="AI297" s="23">
        <f t="shared" si="31"/>
        <v>0</v>
      </c>
      <c r="AJ297" s="44">
        <f t="shared" si="32"/>
        <v>0</v>
      </c>
      <c r="AL297" s="6">
        <f t="shared" si="33"/>
        <v>0</v>
      </c>
    </row>
    <row r="298" spans="13:38" hidden="1" x14ac:dyDescent="0.25">
      <c r="M298" s="3">
        <v>286</v>
      </c>
      <c r="N298" s="3">
        <f t="shared" si="29"/>
        <v>0</v>
      </c>
      <c r="O298" s="6">
        <f t="shared" si="30"/>
        <v>0</v>
      </c>
      <c r="P298" s="6"/>
      <c r="S298" s="23"/>
      <c r="AG298" s="3">
        <v>286</v>
      </c>
      <c r="AI298" s="23">
        <f t="shared" si="31"/>
        <v>0</v>
      </c>
      <c r="AJ298" s="44">
        <f t="shared" si="32"/>
        <v>0</v>
      </c>
      <c r="AL298" s="6">
        <f t="shared" si="33"/>
        <v>0</v>
      </c>
    </row>
    <row r="299" spans="13:38" hidden="1" x14ac:dyDescent="0.25">
      <c r="M299" s="3">
        <v>287</v>
      </c>
      <c r="N299" s="3">
        <f t="shared" si="29"/>
        <v>0</v>
      </c>
      <c r="O299" s="6">
        <f t="shared" si="30"/>
        <v>0</v>
      </c>
      <c r="P299" s="6"/>
      <c r="S299" s="23"/>
      <c r="AG299" s="3">
        <v>287</v>
      </c>
      <c r="AI299" s="23">
        <f t="shared" si="31"/>
        <v>0</v>
      </c>
      <c r="AJ299" s="44">
        <f t="shared" si="32"/>
        <v>0</v>
      </c>
      <c r="AL299" s="6">
        <f t="shared" si="33"/>
        <v>0</v>
      </c>
    </row>
    <row r="300" spans="13:38" hidden="1" x14ac:dyDescent="0.25">
      <c r="M300" s="3">
        <v>288</v>
      </c>
      <c r="N300" s="3">
        <f t="shared" si="29"/>
        <v>0</v>
      </c>
      <c r="O300" s="6">
        <f t="shared" si="30"/>
        <v>0</v>
      </c>
      <c r="P300" s="6"/>
      <c r="S300" s="23"/>
      <c r="AG300" s="3">
        <v>288</v>
      </c>
      <c r="AI300" s="23">
        <f t="shared" si="31"/>
        <v>0</v>
      </c>
      <c r="AJ300" s="44">
        <f t="shared" si="32"/>
        <v>0</v>
      </c>
      <c r="AL300" s="6">
        <f t="shared" si="33"/>
        <v>0</v>
      </c>
    </row>
    <row r="301" spans="13:38" hidden="1" x14ac:dyDescent="0.25">
      <c r="M301" s="3">
        <v>289</v>
      </c>
      <c r="N301" s="3">
        <f t="shared" si="29"/>
        <v>0</v>
      </c>
      <c r="O301" s="6">
        <f t="shared" si="30"/>
        <v>0</v>
      </c>
      <c r="P301" s="6"/>
      <c r="S301" s="23"/>
      <c r="AG301" s="3">
        <v>289</v>
      </c>
      <c r="AI301" s="23">
        <f t="shared" si="31"/>
        <v>0</v>
      </c>
      <c r="AJ301" s="44">
        <f t="shared" si="32"/>
        <v>0</v>
      </c>
      <c r="AL301" s="6">
        <f t="shared" si="33"/>
        <v>0</v>
      </c>
    </row>
    <row r="302" spans="13:38" hidden="1" x14ac:dyDescent="0.25">
      <c r="M302" s="3">
        <v>290</v>
      </c>
      <c r="N302" s="3">
        <f t="shared" si="29"/>
        <v>0</v>
      </c>
      <c r="O302" s="6">
        <f t="shared" si="30"/>
        <v>0</v>
      </c>
      <c r="P302" s="6"/>
      <c r="S302" s="23"/>
      <c r="AG302" s="3">
        <v>290</v>
      </c>
      <c r="AI302" s="23">
        <f t="shared" si="31"/>
        <v>0</v>
      </c>
      <c r="AJ302" s="44">
        <f t="shared" si="32"/>
        <v>0</v>
      </c>
      <c r="AL302" s="6">
        <f t="shared" si="33"/>
        <v>0</v>
      </c>
    </row>
    <row r="303" spans="13:38" hidden="1" x14ac:dyDescent="0.25">
      <c r="M303" s="3">
        <v>291</v>
      </c>
      <c r="N303" s="3">
        <f t="shared" si="29"/>
        <v>0</v>
      </c>
      <c r="O303" s="6">
        <f t="shared" si="30"/>
        <v>0</v>
      </c>
      <c r="P303" s="6"/>
      <c r="S303" s="23"/>
      <c r="AG303" s="3">
        <v>291</v>
      </c>
      <c r="AI303" s="23">
        <f t="shared" si="31"/>
        <v>0</v>
      </c>
      <c r="AJ303" s="44">
        <f t="shared" si="32"/>
        <v>0</v>
      </c>
      <c r="AL303" s="6">
        <f t="shared" si="33"/>
        <v>0</v>
      </c>
    </row>
    <row r="304" spans="13:38" hidden="1" x14ac:dyDescent="0.25">
      <c r="M304" s="3">
        <v>292</v>
      </c>
      <c r="N304" s="3">
        <f t="shared" si="29"/>
        <v>0</v>
      </c>
      <c r="O304" s="6">
        <f t="shared" si="30"/>
        <v>0</v>
      </c>
      <c r="P304" s="6"/>
      <c r="S304" s="23"/>
      <c r="AG304" s="3">
        <v>292</v>
      </c>
      <c r="AI304" s="23">
        <f t="shared" si="31"/>
        <v>0</v>
      </c>
      <c r="AJ304" s="44">
        <f t="shared" si="32"/>
        <v>0</v>
      </c>
      <c r="AL304" s="6">
        <f t="shared" si="33"/>
        <v>0</v>
      </c>
    </row>
    <row r="305" spans="13:38" hidden="1" x14ac:dyDescent="0.25">
      <c r="M305" s="3">
        <v>293</v>
      </c>
      <c r="N305" s="3">
        <f t="shared" si="29"/>
        <v>0</v>
      </c>
      <c r="O305" s="6">
        <f t="shared" si="30"/>
        <v>0</v>
      </c>
      <c r="P305" s="6"/>
      <c r="S305" s="23"/>
      <c r="AG305" s="3">
        <v>293</v>
      </c>
      <c r="AI305" s="23">
        <f t="shared" si="31"/>
        <v>0</v>
      </c>
      <c r="AJ305" s="44">
        <f t="shared" si="32"/>
        <v>0</v>
      </c>
      <c r="AL305" s="6">
        <f t="shared" si="33"/>
        <v>0</v>
      </c>
    </row>
    <row r="306" spans="13:38" hidden="1" x14ac:dyDescent="0.25">
      <c r="M306" s="3">
        <v>294</v>
      </c>
      <c r="N306" s="3">
        <f t="shared" si="29"/>
        <v>0</v>
      </c>
      <c r="O306" s="6">
        <f t="shared" si="30"/>
        <v>0</v>
      </c>
      <c r="P306" s="6"/>
      <c r="S306" s="23"/>
      <c r="AG306" s="3">
        <v>294</v>
      </c>
      <c r="AI306" s="23">
        <f t="shared" si="31"/>
        <v>0</v>
      </c>
      <c r="AJ306" s="44">
        <f t="shared" si="32"/>
        <v>0</v>
      </c>
      <c r="AL306" s="6">
        <f t="shared" si="33"/>
        <v>0</v>
      </c>
    </row>
    <row r="307" spans="13:38" hidden="1" x14ac:dyDescent="0.25">
      <c r="M307" s="3">
        <v>295</v>
      </c>
      <c r="N307" s="3">
        <f t="shared" si="29"/>
        <v>0</v>
      </c>
      <c r="O307" s="6">
        <f t="shared" si="30"/>
        <v>0</v>
      </c>
      <c r="P307" s="6"/>
      <c r="S307" s="23"/>
      <c r="AG307" s="3">
        <v>295</v>
      </c>
      <c r="AI307" s="23">
        <f t="shared" si="31"/>
        <v>0</v>
      </c>
      <c r="AJ307" s="44">
        <f t="shared" si="32"/>
        <v>0</v>
      </c>
      <c r="AL307" s="6">
        <f t="shared" si="33"/>
        <v>0</v>
      </c>
    </row>
    <row r="308" spans="13:38" hidden="1" x14ac:dyDescent="0.25">
      <c r="M308" s="3">
        <v>296</v>
      </c>
      <c r="N308" s="3">
        <f t="shared" si="29"/>
        <v>0</v>
      </c>
      <c r="O308" s="6">
        <f t="shared" si="30"/>
        <v>0</v>
      </c>
      <c r="P308" s="6"/>
      <c r="S308" s="23"/>
      <c r="AG308" s="3">
        <v>296</v>
      </c>
      <c r="AI308" s="23">
        <f t="shared" si="31"/>
        <v>0</v>
      </c>
      <c r="AJ308" s="44">
        <f t="shared" si="32"/>
        <v>0</v>
      </c>
      <c r="AL308" s="6">
        <f t="shared" si="33"/>
        <v>0</v>
      </c>
    </row>
    <row r="309" spans="13:38" hidden="1" x14ac:dyDescent="0.25">
      <c r="M309" s="3">
        <v>297</v>
      </c>
      <c r="N309" s="3">
        <f t="shared" si="29"/>
        <v>0</v>
      </c>
      <c r="O309" s="6">
        <f t="shared" si="30"/>
        <v>0</v>
      </c>
      <c r="P309" s="6"/>
      <c r="S309" s="23"/>
      <c r="AG309" s="3">
        <v>297</v>
      </c>
      <c r="AI309" s="23">
        <f t="shared" si="31"/>
        <v>0</v>
      </c>
      <c r="AJ309" s="44">
        <f t="shared" si="32"/>
        <v>0</v>
      </c>
      <c r="AL309" s="6">
        <f t="shared" si="33"/>
        <v>0</v>
      </c>
    </row>
    <row r="310" spans="13:38" hidden="1" x14ac:dyDescent="0.25">
      <c r="M310" s="3">
        <v>298</v>
      </c>
      <c r="N310" s="3">
        <f t="shared" si="29"/>
        <v>0</v>
      </c>
      <c r="O310" s="6">
        <f t="shared" si="30"/>
        <v>0</v>
      </c>
      <c r="P310" s="6"/>
      <c r="S310" s="23"/>
      <c r="AG310" s="3">
        <v>298</v>
      </c>
      <c r="AI310" s="23">
        <f t="shared" si="31"/>
        <v>0</v>
      </c>
      <c r="AJ310" s="44">
        <f t="shared" si="32"/>
        <v>0</v>
      </c>
      <c r="AL310" s="6">
        <f t="shared" si="33"/>
        <v>0</v>
      </c>
    </row>
    <row r="311" spans="13:38" hidden="1" x14ac:dyDescent="0.25">
      <c r="M311" s="3">
        <v>299</v>
      </c>
      <c r="N311" s="3">
        <f t="shared" si="29"/>
        <v>0</v>
      </c>
      <c r="O311" s="6">
        <f t="shared" si="30"/>
        <v>0</v>
      </c>
      <c r="P311" s="6"/>
      <c r="S311" s="23"/>
      <c r="AG311" s="3">
        <v>299</v>
      </c>
      <c r="AI311" s="23">
        <f t="shared" si="31"/>
        <v>0</v>
      </c>
      <c r="AJ311" s="44">
        <f t="shared" si="32"/>
        <v>0</v>
      </c>
      <c r="AL311" s="6">
        <f t="shared" si="33"/>
        <v>0</v>
      </c>
    </row>
    <row r="312" spans="13:38" hidden="1" x14ac:dyDescent="0.25">
      <c r="M312" s="3">
        <v>300</v>
      </c>
      <c r="N312" s="3">
        <f t="shared" si="29"/>
        <v>0</v>
      </c>
      <c r="O312" s="6">
        <f t="shared" si="30"/>
        <v>0</v>
      </c>
      <c r="P312" s="6"/>
      <c r="S312" s="23"/>
      <c r="AG312" s="3">
        <v>300</v>
      </c>
      <c r="AI312" s="23">
        <f t="shared" si="31"/>
        <v>0</v>
      </c>
      <c r="AJ312" s="44">
        <f t="shared" si="32"/>
        <v>0</v>
      </c>
      <c r="AL312" s="6">
        <f t="shared" si="33"/>
        <v>0</v>
      </c>
    </row>
    <row r="313" spans="13:38" hidden="1" x14ac:dyDescent="0.25">
      <c r="M313" s="3">
        <v>301</v>
      </c>
      <c r="N313" s="3">
        <f t="shared" si="29"/>
        <v>0</v>
      </c>
      <c r="O313" s="6">
        <f t="shared" si="30"/>
        <v>0</v>
      </c>
      <c r="P313" s="6"/>
      <c r="S313" s="23"/>
      <c r="AG313" s="3">
        <v>301</v>
      </c>
      <c r="AI313" s="23">
        <f t="shared" si="31"/>
        <v>0</v>
      </c>
      <c r="AJ313" s="44">
        <f t="shared" si="32"/>
        <v>0</v>
      </c>
      <c r="AL313" s="6">
        <f t="shared" si="33"/>
        <v>0</v>
      </c>
    </row>
    <row r="314" spans="13:38" hidden="1" x14ac:dyDescent="0.25">
      <c r="M314" s="3">
        <v>302</v>
      </c>
      <c r="N314" s="3">
        <f t="shared" si="29"/>
        <v>0</v>
      </c>
      <c r="O314" s="6">
        <f t="shared" si="30"/>
        <v>0</v>
      </c>
      <c r="P314" s="6"/>
      <c r="S314" s="23"/>
      <c r="AG314" s="3">
        <v>302</v>
      </c>
      <c r="AI314" s="23">
        <f t="shared" si="31"/>
        <v>0</v>
      </c>
      <c r="AJ314" s="44">
        <f t="shared" si="32"/>
        <v>0</v>
      </c>
      <c r="AL314" s="6">
        <f t="shared" si="33"/>
        <v>0</v>
      </c>
    </row>
    <row r="315" spans="13:38" hidden="1" x14ac:dyDescent="0.25">
      <c r="M315" s="3">
        <v>303</v>
      </c>
      <c r="N315" s="3">
        <f t="shared" si="29"/>
        <v>0</v>
      </c>
      <c r="O315" s="6">
        <f t="shared" si="30"/>
        <v>0</v>
      </c>
      <c r="P315" s="6"/>
      <c r="S315" s="23"/>
      <c r="AG315" s="3">
        <v>303</v>
      </c>
      <c r="AI315" s="23">
        <f t="shared" si="31"/>
        <v>0</v>
      </c>
      <c r="AJ315" s="44">
        <f t="shared" si="32"/>
        <v>0</v>
      </c>
      <c r="AL315" s="6">
        <f t="shared" si="33"/>
        <v>0</v>
      </c>
    </row>
    <row r="316" spans="13:38" hidden="1" x14ac:dyDescent="0.25">
      <c r="M316" s="3">
        <v>304</v>
      </c>
      <c r="N316" s="3">
        <f t="shared" si="29"/>
        <v>0</v>
      </c>
      <c r="O316" s="6">
        <f t="shared" si="30"/>
        <v>0</v>
      </c>
      <c r="P316" s="6"/>
      <c r="S316" s="23"/>
      <c r="AG316" s="3">
        <v>304</v>
      </c>
      <c r="AI316" s="23">
        <f t="shared" si="31"/>
        <v>0</v>
      </c>
      <c r="AJ316" s="44">
        <f t="shared" si="32"/>
        <v>0</v>
      </c>
      <c r="AL316" s="6">
        <f t="shared" si="33"/>
        <v>0</v>
      </c>
    </row>
    <row r="317" spans="13:38" hidden="1" x14ac:dyDescent="0.25">
      <c r="M317" s="3">
        <v>305</v>
      </c>
      <c r="N317" s="3">
        <f t="shared" si="29"/>
        <v>0</v>
      </c>
      <c r="O317" s="6">
        <f t="shared" si="30"/>
        <v>0</v>
      </c>
      <c r="P317" s="6"/>
      <c r="S317" s="23"/>
      <c r="AG317" s="3">
        <v>305</v>
      </c>
      <c r="AI317" s="23">
        <f t="shared" si="31"/>
        <v>0</v>
      </c>
      <c r="AJ317" s="44">
        <f t="shared" si="32"/>
        <v>0</v>
      </c>
      <c r="AL317" s="6">
        <f t="shared" si="33"/>
        <v>0</v>
      </c>
    </row>
    <row r="318" spans="13:38" hidden="1" x14ac:dyDescent="0.25">
      <c r="M318" s="3">
        <v>306</v>
      </c>
      <c r="N318" s="3">
        <f t="shared" si="29"/>
        <v>0</v>
      </c>
      <c r="O318" s="6">
        <f t="shared" si="30"/>
        <v>0</v>
      </c>
      <c r="P318" s="6"/>
      <c r="S318" s="23"/>
      <c r="AG318" s="3">
        <v>306</v>
      </c>
      <c r="AI318" s="23">
        <f t="shared" si="31"/>
        <v>0</v>
      </c>
      <c r="AJ318" s="44">
        <f t="shared" si="32"/>
        <v>0</v>
      </c>
      <c r="AL318" s="6">
        <f t="shared" si="33"/>
        <v>0</v>
      </c>
    </row>
    <row r="319" spans="13:38" hidden="1" x14ac:dyDescent="0.25">
      <c r="M319" s="3">
        <v>307</v>
      </c>
      <c r="N319" s="3">
        <f t="shared" si="29"/>
        <v>0</v>
      </c>
      <c r="O319" s="6">
        <f t="shared" si="30"/>
        <v>0</v>
      </c>
      <c r="P319" s="6"/>
      <c r="S319" s="23"/>
      <c r="AG319" s="3">
        <v>307</v>
      </c>
      <c r="AI319" s="23">
        <f t="shared" si="31"/>
        <v>0</v>
      </c>
      <c r="AJ319" s="44">
        <f t="shared" si="32"/>
        <v>0</v>
      </c>
      <c r="AL319" s="6">
        <f t="shared" si="33"/>
        <v>0</v>
      </c>
    </row>
    <row r="320" spans="13:38" hidden="1" x14ac:dyDescent="0.25">
      <c r="M320" s="3">
        <v>308</v>
      </c>
      <c r="N320" s="3">
        <f t="shared" si="29"/>
        <v>0</v>
      </c>
      <c r="O320" s="6">
        <f t="shared" si="30"/>
        <v>0</v>
      </c>
      <c r="P320" s="6"/>
      <c r="S320" s="23"/>
      <c r="AG320" s="3">
        <v>308</v>
      </c>
      <c r="AI320" s="23">
        <f t="shared" si="31"/>
        <v>0</v>
      </c>
      <c r="AJ320" s="44">
        <f t="shared" si="32"/>
        <v>0</v>
      </c>
      <c r="AL320" s="6">
        <f t="shared" si="33"/>
        <v>0</v>
      </c>
    </row>
    <row r="321" spans="13:38" hidden="1" x14ac:dyDescent="0.25">
      <c r="M321" s="3">
        <v>309</v>
      </c>
      <c r="N321" s="3">
        <f t="shared" si="29"/>
        <v>0</v>
      </c>
      <c r="O321" s="6">
        <f t="shared" si="30"/>
        <v>0</v>
      </c>
      <c r="P321" s="6"/>
      <c r="S321" s="23"/>
      <c r="AG321" s="3">
        <v>309</v>
      </c>
      <c r="AI321" s="23">
        <f t="shared" si="31"/>
        <v>0</v>
      </c>
      <c r="AJ321" s="44">
        <f t="shared" si="32"/>
        <v>0</v>
      </c>
      <c r="AL321" s="6">
        <f t="shared" si="33"/>
        <v>0</v>
      </c>
    </row>
    <row r="322" spans="13:38" hidden="1" x14ac:dyDescent="0.25">
      <c r="M322" s="3">
        <v>310</v>
      </c>
      <c r="N322" s="3">
        <f t="shared" si="29"/>
        <v>0</v>
      </c>
      <c r="O322" s="6">
        <f t="shared" si="30"/>
        <v>0</v>
      </c>
      <c r="P322" s="6"/>
      <c r="S322" s="23"/>
      <c r="AG322" s="3">
        <v>310</v>
      </c>
      <c r="AI322" s="23">
        <f t="shared" si="31"/>
        <v>0</v>
      </c>
      <c r="AJ322" s="44">
        <f t="shared" si="32"/>
        <v>0</v>
      </c>
      <c r="AL322" s="6">
        <f t="shared" si="33"/>
        <v>0</v>
      </c>
    </row>
    <row r="323" spans="13:38" hidden="1" x14ac:dyDescent="0.25">
      <c r="M323" s="3">
        <v>311</v>
      </c>
      <c r="N323" s="3">
        <f t="shared" si="29"/>
        <v>0</v>
      </c>
      <c r="O323" s="6">
        <f t="shared" si="30"/>
        <v>0</v>
      </c>
      <c r="P323" s="6"/>
      <c r="S323" s="23"/>
      <c r="AG323" s="3">
        <v>311</v>
      </c>
      <c r="AI323" s="23">
        <f t="shared" si="31"/>
        <v>0</v>
      </c>
      <c r="AJ323" s="44">
        <f t="shared" si="32"/>
        <v>0</v>
      </c>
      <c r="AL323" s="6">
        <f t="shared" si="33"/>
        <v>0</v>
      </c>
    </row>
    <row r="324" spans="13:38" hidden="1" x14ac:dyDescent="0.25">
      <c r="M324" s="3">
        <v>312</v>
      </c>
      <c r="N324" s="3">
        <f t="shared" si="29"/>
        <v>0</v>
      </c>
      <c r="O324" s="6">
        <f t="shared" si="30"/>
        <v>0</v>
      </c>
      <c r="P324" s="6"/>
      <c r="S324" s="23"/>
      <c r="AG324" s="3">
        <v>312</v>
      </c>
      <c r="AI324" s="23">
        <f t="shared" si="31"/>
        <v>0</v>
      </c>
      <c r="AJ324" s="44">
        <f t="shared" si="32"/>
        <v>0</v>
      </c>
      <c r="AL324" s="6">
        <f t="shared" si="33"/>
        <v>0</v>
      </c>
    </row>
    <row r="325" spans="13:38" hidden="1" x14ac:dyDescent="0.25">
      <c r="M325" s="3">
        <v>313</v>
      </c>
      <c r="N325" s="3">
        <f t="shared" si="29"/>
        <v>0</v>
      </c>
      <c r="O325" s="6">
        <f t="shared" si="30"/>
        <v>0</v>
      </c>
      <c r="P325" s="6"/>
      <c r="S325" s="23"/>
      <c r="AG325" s="3">
        <v>313</v>
      </c>
      <c r="AI325" s="23">
        <f t="shared" si="31"/>
        <v>0</v>
      </c>
      <c r="AJ325" s="44">
        <f t="shared" si="32"/>
        <v>0</v>
      </c>
      <c r="AL325" s="6">
        <f t="shared" si="33"/>
        <v>0</v>
      </c>
    </row>
    <row r="326" spans="13:38" hidden="1" x14ac:dyDescent="0.25">
      <c r="M326" s="3">
        <v>314</v>
      </c>
      <c r="N326" s="3">
        <f t="shared" si="29"/>
        <v>0</v>
      </c>
      <c r="O326" s="6">
        <f t="shared" si="30"/>
        <v>0</v>
      </c>
      <c r="P326" s="6"/>
      <c r="S326" s="23"/>
      <c r="AG326" s="3">
        <v>314</v>
      </c>
      <c r="AI326" s="23">
        <f t="shared" si="31"/>
        <v>0</v>
      </c>
      <c r="AJ326" s="44">
        <f t="shared" si="32"/>
        <v>0</v>
      </c>
      <c r="AL326" s="6">
        <f t="shared" si="33"/>
        <v>0</v>
      </c>
    </row>
    <row r="327" spans="13:38" hidden="1" x14ac:dyDescent="0.25">
      <c r="M327" s="3">
        <v>315</v>
      </c>
      <c r="N327" s="3">
        <f t="shared" si="29"/>
        <v>0</v>
      </c>
      <c r="O327" s="6">
        <f t="shared" si="30"/>
        <v>0</v>
      </c>
      <c r="P327" s="6"/>
      <c r="S327" s="23"/>
      <c r="AG327" s="3">
        <v>315</v>
      </c>
      <c r="AI327" s="23">
        <f t="shared" si="31"/>
        <v>0</v>
      </c>
      <c r="AJ327" s="44">
        <f t="shared" si="32"/>
        <v>0</v>
      </c>
      <c r="AL327" s="6">
        <f t="shared" si="33"/>
        <v>0</v>
      </c>
    </row>
    <row r="328" spans="13:38" hidden="1" x14ac:dyDescent="0.25">
      <c r="M328" s="3">
        <v>316</v>
      </c>
      <c r="N328" s="3">
        <f t="shared" si="29"/>
        <v>0</v>
      </c>
      <c r="O328" s="6">
        <f t="shared" si="30"/>
        <v>0</v>
      </c>
      <c r="P328" s="6"/>
      <c r="S328" s="23"/>
      <c r="AG328" s="3">
        <v>316</v>
      </c>
      <c r="AI328" s="23">
        <f t="shared" si="31"/>
        <v>0</v>
      </c>
      <c r="AJ328" s="44">
        <f t="shared" si="32"/>
        <v>0</v>
      </c>
      <c r="AL328" s="6">
        <f t="shared" si="33"/>
        <v>0</v>
      </c>
    </row>
    <row r="329" spans="13:38" hidden="1" x14ac:dyDescent="0.25">
      <c r="M329" s="3">
        <v>317</v>
      </c>
      <c r="N329" s="3">
        <f t="shared" si="29"/>
        <v>0</v>
      </c>
      <c r="O329" s="6">
        <f t="shared" si="30"/>
        <v>0</v>
      </c>
      <c r="P329" s="6"/>
      <c r="S329" s="23"/>
      <c r="AG329" s="3">
        <v>317</v>
      </c>
      <c r="AI329" s="23">
        <f t="shared" si="31"/>
        <v>0</v>
      </c>
      <c r="AJ329" s="44">
        <f t="shared" si="32"/>
        <v>0</v>
      </c>
      <c r="AL329" s="6">
        <f t="shared" si="33"/>
        <v>0</v>
      </c>
    </row>
    <row r="330" spans="13:38" hidden="1" x14ac:dyDescent="0.25">
      <c r="M330" s="3">
        <v>318</v>
      </c>
      <c r="N330" s="3">
        <f t="shared" si="29"/>
        <v>0</v>
      </c>
      <c r="O330" s="6">
        <f t="shared" si="30"/>
        <v>0</v>
      </c>
      <c r="P330" s="6"/>
      <c r="S330" s="23"/>
      <c r="AG330" s="3">
        <v>318</v>
      </c>
      <c r="AI330" s="23">
        <f t="shared" si="31"/>
        <v>0</v>
      </c>
      <c r="AJ330" s="44">
        <f t="shared" si="32"/>
        <v>0</v>
      </c>
      <c r="AL330" s="6">
        <f t="shared" si="33"/>
        <v>0</v>
      </c>
    </row>
    <row r="331" spans="13:38" hidden="1" x14ac:dyDescent="0.25">
      <c r="M331" s="3">
        <v>319</v>
      </c>
      <c r="N331" s="3">
        <f t="shared" si="29"/>
        <v>0</v>
      </c>
      <c r="O331" s="6">
        <f t="shared" si="30"/>
        <v>0</v>
      </c>
      <c r="P331" s="6"/>
      <c r="S331" s="23"/>
      <c r="AG331" s="3">
        <v>319</v>
      </c>
      <c r="AI331" s="23">
        <f t="shared" si="31"/>
        <v>0</v>
      </c>
      <c r="AJ331" s="44">
        <f t="shared" si="32"/>
        <v>0</v>
      </c>
      <c r="AL331" s="6">
        <f t="shared" si="33"/>
        <v>0</v>
      </c>
    </row>
    <row r="332" spans="13:38" hidden="1" x14ac:dyDescent="0.25">
      <c r="M332" s="3">
        <v>320</v>
      </c>
      <c r="N332" s="3">
        <f t="shared" si="29"/>
        <v>0</v>
      </c>
      <c r="O332" s="6">
        <f t="shared" si="30"/>
        <v>0</v>
      </c>
      <c r="P332" s="6"/>
      <c r="S332" s="23"/>
      <c r="AG332" s="3">
        <v>320</v>
      </c>
      <c r="AI332" s="23">
        <f t="shared" si="31"/>
        <v>0</v>
      </c>
      <c r="AJ332" s="44">
        <f t="shared" si="32"/>
        <v>0</v>
      </c>
      <c r="AL332" s="6">
        <f t="shared" si="33"/>
        <v>0</v>
      </c>
    </row>
    <row r="333" spans="13:38" hidden="1" x14ac:dyDescent="0.25">
      <c r="M333" s="3">
        <v>321</v>
      </c>
      <c r="N333" s="3">
        <f t="shared" ref="N333:N396" si="34">IF(M333&lt;=IF($T$6=1,$O$8,ROUNDUP($J$8,0)),SIPAmount,0)</f>
        <v>0</v>
      </c>
      <c r="O333" s="6">
        <f t="shared" ref="O333:O396" si="35">FV(SIPRate,M333,-N333,0,1)</f>
        <v>0</v>
      </c>
      <c r="P333" s="6"/>
      <c r="S333" s="23"/>
      <c r="AG333" s="3">
        <v>321</v>
      </c>
      <c r="AI333" s="23">
        <f t="shared" si="31"/>
        <v>0</v>
      </c>
      <c r="AJ333" s="44">
        <f t="shared" si="32"/>
        <v>0</v>
      </c>
      <c r="AL333" s="6">
        <f t="shared" si="33"/>
        <v>0</v>
      </c>
    </row>
    <row r="334" spans="13:38" hidden="1" x14ac:dyDescent="0.25">
      <c r="M334" s="3">
        <v>322</v>
      </c>
      <c r="N334" s="3">
        <f t="shared" si="34"/>
        <v>0</v>
      </c>
      <c r="O334" s="6">
        <f t="shared" si="35"/>
        <v>0</v>
      </c>
      <c r="P334" s="6"/>
      <c r="S334" s="23"/>
      <c r="AG334" s="3">
        <v>322</v>
      </c>
      <c r="AI334" s="23">
        <f t="shared" ref="AI334:AI397" si="36">IF(AG334&lt;=$O$8,FV($O$3,AG334,-$O$5,0,1),0)</f>
        <v>0</v>
      </c>
      <c r="AJ334" s="44">
        <f t="shared" ref="AJ334:AJ397" si="37">IF(OR(AJ333=0,AJ333&gt;=$C$15),0,FV($O$3,AG334,-$C$17,0,1))</f>
        <v>0</v>
      </c>
      <c r="AL334" s="6">
        <f t="shared" ref="AL334:AL397" si="38">O334</f>
        <v>0</v>
      </c>
    </row>
    <row r="335" spans="13:38" hidden="1" x14ac:dyDescent="0.25">
      <c r="M335" s="3">
        <v>323</v>
      </c>
      <c r="N335" s="3">
        <f t="shared" si="34"/>
        <v>0</v>
      </c>
      <c r="O335" s="6">
        <f t="shared" si="35"/>
        <v>0</v>
      </c>
      <c r="P335" s="6"/>
      <c r="S335" s="23"/>
      <c r="AG335" s="3">
        <v>323</v>
      </c>
      <c r="AI335" s="23">
        <f t="shared" si="36"/>
        <v>0</v>
      </c>
      <c r="AJ335" s="44">
        <f t="shared" si="37"/>
        <v>0</v>
      </c>
      <c r="AL335" s="6">
        <f t="shared" si="38"/>
        <v>0</v>
      </c>
    </row>
    <row r="336" spans="13:38" hidden="1" x14ac:dyDescent="0.25">
      <c r="M336" s="3">
        <v>324</v>
      </c>
      <c r="N336" s="3">
        <f t="shared" si="34"/>
        <v>0</v>
      </c>
      <c r="O336" s="6">
        <f t="shared" si="35"/>
        <v>0</v>
      </c>
      <c r="P336" s="6"/>
      <c r="S336" s="23"/>
      <c r="AG336" s="3">
        <v>324</v>
      </c>
      <c r="AI336" s="23">
        <f t="shared" si="36"/>
        <v>0</v>
      </c>
      <c r="AJ336" s="44">
        <f t="shared" si="37"/>
        <v>0</v>
      </c>
      <c r="AL336" s="6">
        <f t="shared" si="38"/>
        <v>0</v>
      </c>
    </row>
    <row r="337" spans="13:38" hidden="1" x14ac:dyDescent="0.25">
      <c r="M337" s="3">
        <v>325</v>
      </c>
      <c r="N337" s="3">
        <f t="shared" si="34"/>
        <v>0</v>
      </c>
      <c r="O337" s="6">
        <f t="shared" si="35"/>
        <v>0</v>
      </c>
      <c r="P337" s="6"/>
      <c r="S337" s="23"/>
      <c r="AG337" s="3">
        <v>325</v>
      </c>
      <c r="AI337" s="23">
        <f t="shared" si="36"/>
        <v>0</v>
      </c>
      <c r="AJ337" s="44">
        <f t="shared" si="37"/>
        <v>0</v>
      </c>
      <c r="AL337" s="6">
        <f t="shared" si="38"/>
        <v>0</v>
      </c>
    </row>
    <row r="338" spans="13:38" hidden="1" x14ac:dyDescent="0.25">
      <c r="M338" s="3">
        <v>326</v>
      </c>
      <c r="N338" s="3">
        <f t="shared" si="34"/>
        <v>0</v>
      </c>
      <c r="O338" s="6">
        <f t="shared" si="35"/>
        <v>0</v>
      </c>
      <c r="P338" s="6"/>
      <c r="S338" s="23"/>
      <c r="AG338" s="3">
        <v>326</v>
      </c>
      <c r="AI338" s="23">
        <f t="shared" si="36"/>
        <v>0</v>
      </c>
      <c r="AJ338" s="44">
        <f t="shared" si="37"/>
        <v>0</v>
      </c>
      <c r="AL338" s="6">
        <f t="shared" si="38"/>
        <v>0</v>
      </c>
    </row>
    <row r="339" spans="13:38" hidden="1" x14ac:dyDescent="0.25">
      <c r="M339" s="3">
        <v>327</v>
      </c>
      <c r="N339" s="3">
        <f t="shared" si="34"/>
        <v>0</v>
      </c>
      <c r="O339" s="6">
        <f t="shared" si="35"/>
        <v>0</v>
      </c>
      <c r="P339" s="6"/>
      <c r="S339" s="23"/>
      <c r="AG339" s="3">
        <v>327</v>
      </c>
      <c r="AI339" s="23">
        <f t="shared" si="36"/>
        <v>0</v>
      </c>
      <c r="AJ339" s="44">
        <f t="shared" si="37"/>
        <v>0</v>
      </c>
      <c r="AL339" s="6">
        <f t="shared" si="38"/>
        <v>0</v>
      </c>
    </row>
    <row r="340" spans="13:38" hidden="1" x14ac:dyDescent="0.25">
      <c r="M340" s="3">
        <v>328</v>
      </c>
      <c r="N340" s="3">
        <f t="shared" si="34"/>
        <v>0</v>
      </c>
      <c r="O340" s="6">
        <f t="shared" si="35"/>
        <v>0</v>
      </c>
      <c r="P340" s="6"/>
      <c r="S340" s="23"/>
      <c r="AG340" s="3">
        <v>328</v>
      </c>
      <c r="AI340" s="23">
        <f t="shared" si="36"/>
        <v>0</v>
      </c>
      <c r="AJ340" s="44">
        <f t="shared" si="37"/>
        <v>0</v>
      </c>
      <c r="AL340" s="6">
        <f t="shared" si="38"/>
        <v>0</v>
      </c>
    </row>
    <row r="341" spans="13:38" hidden="1" x14ac:dyDescent="0.25">
      <c r="M341" s="3">
        <v>329</v>
      </c>
      <c r="N341" s="3">
        <f t="shared" si="34"/>
        <v>0</v>
      </c>
      <c r="O341" s="6">
        <f t="shared" si="35"/>
        <v>0</v>
      </c>
      <c r="P341" s="6"/>
      <c r="S341" s="23"/>
      <c r="AG341" s="3">
        <v>329</v>
      </c>
      <c r="AI341" s="23">
        <f t="shared" si="36"/>
        <v>0</v>
      </c>
      <c r="AJ341" s="44">
        <f t="shared" si="37"/>
        <v>0</v>
      </c>
      <c r="AL341" s="6">
        <f t="shared" si="38"/>
        <v>0</v>
      </c>
    </row>
    <row r="342" spans="13:38" hidden="1" x14ac:dyDescent="0.25">
      <c r="M342" s="3">
        <v>330</v>
      </c>
      <c r="N342" s="3">
        <f t="shared" si="34"/>
        <v>0</v>
      </c>
      <c r="O342" s="6">
        <f t="shared" si="35"/>
        <v>0</v>
      </c>
      <c r="P342" s="6"/>
      <c r="S342" s="23"/>
      <c r="AG342" s="3">
        <v>330</v>
      </c>
      <c r="AI342" s="23">
        <f t="shared" si="36"/>
        <v>0</v>
      </c>
      <c r="AJ342" s="44">
        <f t="shared" si="37"/>
        <v>0</v>
      </c>
      <c r="AL342" s="6">
        <f t="shared" si="38"/>
        <v>0</v>
      </c>
    </row>
    <row r="343" spans="13:38" hidden="1" x14ac:dyDescent="0.25">
      <c r="M343" s="3">
        <v>331</v>
      </c>
      <c r="N343" s="3">
        <f t="shared" si="34"/>
        <v>0</v>
      </c>
      <c r="O343" s="6">
        <f t="shared" si="35"/>
        <v>0</v>
      </c>
      <c r="P343" s="6"/>
      <c r="S343" s="23"/>
      <c r="AG343" s="3">
        <v>331</v>
      </c>
      <c r="AI343" s="23">
        <f t="shared" si="36"/>
        <v>0</v>
      </c>
      <c r="AJ343" s="44">
        <f t="shared" si="37"/>
        <v>0</v>
      </c>
      <c r="AL343" s="6">
        <f t="shared" si="38"/>
        <v>0</v>
      </c>
    </row>
    <row r="344" spans="13:38" hidden="1" x14ac:dyDescent="0.25">
      <c r="M344" s="3">
        <v>332</v>
      </c>
      <c r="N344" s="3">
        <f t="shared" si="34"/>
        <v>0</v>
      </c>
      <c r="O344" s="6">
        <f t="shared" si="35"/>
        <v>0</v>
      </c>
      <c r="P344" s="6"/>
      <c r="S344" s="23"/>
      <c r="AG344" s="3">
        <v>332</v>
      </c>
      <c r="AI344" s="23">
        <f t="shared" si="36"/>
        <v>0</v>
      </c>
      <c r="AJ344" s="44">
        <f t="shared" si="37"/>
        <v>0</v>
      </c>
      <c r="AL344" s="6">
        <f t="shared" si="38"/>
        <v>0</v>
      </c>
    </row>
    <row r="345" spans="13:38" hidden="1" x14ac:dyDescent="0.25">
      <c r="M345" s="3">
        <v>333</v>
      </c>
      <c r="N345" s="3">
        <f t="shared" si="34"/>
        <v>0</v>
      </c>
      <c r="O345" s="6">
        <f t="shared" si="35"/>
        <v>0</v>
      </c>
      <c r="P345" s="6"/>
      <c r="S345" s="23"/>
      <c r="AG345" s="3">
        <v>333</v>
      </c>
      <c r="AI345" s="23">
        <f t="shared" si="36"/>
        <v>0</v>
      </c>
      <c r="AJ345" s="44">
        <f t="shared" si="37"/>
        <v>0</v>
      </c>
      <c r="AL345" s="6">
        <f t="shared" si="38"/>
        <v>0</v>
      </c>
    </row>
    <row r="346" spans="13:38" hidden="1" x14ac:dyDescent="0.25">
      <c r="M346" s="3">
        <v>334</v>
      </c>
      <c r="N346" s="3">
        <f t="shared" si="34"/>
        <v>0</v>
      </c>
      <c r="O346" s="6">
        <f t="shared" si="35"/>
        <v>0</v>
      </c>
      <c r="P346" s="6"/>
      <c r="S346" s="23"/>
      <c r="AG346" s="3">
        <v>334</v>
      </c>
      <c r="AI346" s="23">
        <f t="shared" si="36"/>
        <v>0</v>
      </c>
      <c r="AJ346" s="44">
        <f t="shared" si="37"/>
        <v>0</v>
      </c>
      <c r="AL346" s="6">
        <f t="shared" si="38"/>
        <v>0</v>
      </c>
    </row>
    <row r="347" spans="13:38" hidden="1" x14ac:dyDescent="0.25">
      <c r="M347" s="3">
        <v>335</v>
      </c>
      <c r="N347" s="3">
        <f t="shared" si="34"/>
        <v>0</v>
      </c>
      <c r="O347" s="6">
        <f t="shared" si="35"/>
        <v>0</v>
      </c>
      <c r="P347" s="6"/>
      <c r="S347" s="23"/>
      <c r="AG347" s="3">
        <v>335</v>
      </c>
      <c r="AI347" s="23">
        <f t="shared" si="36"/>
        <v>0</v>
      </c>
      <c r="AJ347" s="44">
        <f t="shared" si="37"/>
        <v>0</v>
      </c>
      <c r="AL347" s="6">
        <f t="shared" si="38"/>
        <v>0</v>
      </c>
    </row>
    <row r="348" spans="13:38" hidden="1" x14ac:dyDescent="0.25">
      <c r="M348" s="3">
        <v>336</v>
      </c>
      <c r="N348" s="3">
        <f t="shared" si="34"/>
        <v>0</v>
      </c>
      <c r="O348" s="6">
        <f t="shared" si="35"/>
        <v>0</v>
      </c>
      <c r="P348" s="6"/>
      <c r="S348" s="23"/>
      <c r="AG348" s="3">
        <v>336</v>
      </c>
      <c r="AI348" s="23">
        <f t="shared" si="36"/>
        <v>0</v>
      </c>
      <c r="AJ348" s="44">
        <f t="shared" si="37"/>
        <v>0</v>
      </c>
      <c r="AL348" s="6">
        <f t="shared" si="38"/>
        <v>0</v>
      </c>
    </row>
    <row r="349" spans="13:38" hidden="1" x14ac:dyDescent="0.25">
      <c r="M349" s="3">
        <v>337</v>
      </c>
      <c r="N349" s="3">
        <f t="shared" si="34"/>
        <v>0</v>
      </c>
      <c r="O349" s="6">
        <f t="shared" si="35"/>
        <v>0</v>
      </c>
      <c r="P349" s="6"/>
      <c r="S349" s="23"/>
      <c r="AG349" s="3">
        <v>337</v>
      </c>
      <c r="AI349" s="23">
        <f t="shared" si="36"/>
        <v>0</v>
      </c>
      <c r="AJ349" s="44">
        <f t="shared" si="37"/>
        <v>0</v>
      </c>
      <c r="AL349" s="6">
        <f t="shared" si="38"/>
        <v>0</v>
      </c>
    </row>
    <row r="350" spans="13:38" hidden="1" x14ac:dyDescent="0.25">
      <c r="M350" s="3">
        <v>338</v>
      </c>
      <c r="N350" s="3">
        <f t="shared" si="34"/>
        <v>0</v>
      </c>
      <c r="O350" s="6">
        <f t="shared" si="35"/>
        <v>0</v>
      </c>
      <c r="P350" s="6"/>
      <c r="S350" s="23"/>
      <c r="AG350" s="3">
        <v>338</v>
      </c>
      <c r="AI350" s="23">
        <f t="shared" si="36"/>
        <v>0</v>
      </c>
      <c r="AJ350" s="44">
        <f t="shared" si="37"/>
        <v>0</v>
      </c>
      <c r="AL350" s="6">
        <f t="shared" si="38"/>
        <v>0</v>
      </c>
    </row>
    <row r="351" spans="13:38" hidden="1" x14ac:dyDescent="0.25">
      <c r="M351" s="3">
        <v>339</v>
      </c>
      <c r="N351" s="3">
        <f t="shared" si="34"/>
        <v>0</v>
      </c>
      <c r="O351" s="6">
        <f t="shared" si="35"/>
        <v>0</v>
      </c>
      <c r="P351" s="6"/>
      <c r="S351" s="23"/>
      <c r="AG351" s="3">
        <v>339</v>
      </c>
      <c r="AI351" s="23">
        <f t="shared" si="36"/>
        <v>0</v>
      </c>
      <c r="AJ351" s="44">
        <f t="shared" si="37"/>
        <v>0</v>
      </c>
      <c r="AL351" s="6">
        <f t="shared" si="38"/>
        <v>0</v>
      </c>
    </row>
    <row r="352" spans="13:38" hidden="1" x14ac:dyDescent="0.25">
      <c r="M352" s="3">
        <v>340</v>
      </c>
      <c r="N352" s="3">
        <f t="shared" si="34"/>
        <v>0</v>
      </c>
      <c r="O352" s="6">
        <f t="shared" si="35"/>
        <v>0</v>
      </c>
      <c r="P352" s="6"/>
      <c r="S352" s="23"/>
      <c r="AG352" s="3">
        <v>340</v>
      </c>
      <c r="AI352" s="23">
        <f t="shared" si="36"/>
        <v>0</v>
      </c>
      <c r="AJ352" s="44">
        <f t="shared" si="37"/>
        <v>0</v>
      </c>
      <c r="AL352" s="6">
        <f t="shared" si="38"/>
        <v>0</v>
      </c>
    </row>
    <row r="353" spans="13:38" hidden="1" x14ac:dyDescent="0.25">
      <c r="M353" s="3">
        <v>341</v>
      </c>
      <c r="N353" s="3">
        <f t="shared" si="34"/>
        <v>0</v>
      </c>
      <c r="O353" s="6">
        <f t="shared" si="35"/>
        <v>0</v>
      </c>
      <c r="P353" s="6"/>
      <c r="S353" s="23"/>
      <c r="AG353" s="3">
        <v>341</v>
      </c>
      <c r="AI353" s="23">
        <f t="shared" si="36"/>
        <v>0</v>
      </c>
      <c r="AJ353" s="44">
        <f t="shared" si="37"/>
        <v>0</v>
      </c>
      <c r="AL353" s="6">
        <f t="shared" si="38"/>
        <v>0</v>
      </c>
    </row>
    <row r="354" spans="13:38" hidden="1" x14ac:dyDescent="0.25">
      <c r="M354" s="3">
        <v>342</v>
      </c>
      <c r="N354" s="3">
        <f t="shared" si="34"/>
        <v>0</v>
      </c>
      <c r="O354" s="6">
        <f t="shared" si="35"/>
        <v>0</v>
      </c>
      <c r="P354" s="6"/>
      <c r="S354" s="23"/>
      <c r="AG354" s="3">
        <v>342</v>
      </c>
      <c r="AI354" s="23">
        <f t="shared" si="36"/>
        <v>0</v>
      </c>
      <c r="AJ354" s="44">
        <f t="shared" si="37"/>
        <v>0</v>
      </c>
      <c r="AL354" s="6">
        <f t="shared" si="38"/>
        <v>0</v>
      </c>
    </row>
    <row r="355" spans="13:38" hidden="1" x14ac:dyDescent="0.25">
      <c r="M355" s="3">
        <v>343</v>
      </c>
      <c r="N355" s="3">
        <f t="shared" si="34"/>
        <v>0</v>
      </c>
      <c r="O355" s="6">
        <f t="shared" si="35"/>
        <v>0</v>
      </c>
      <c r="P355" s="6"/>
      <c r="S355" s="23"/>
      <c r="AG355" s="3">
        <v>343</v>
      </c>
      <c r="AI355" s="23">
        <f t="shared" si="36"/>
        <v>0</v>
      </c>
      <c r="AJ355" s="44">
        <f t="shared" si="37"/>
        <v>0</v>
      </c>
      <c r="AL355" s="6">
        <f t="shared" si="38"/>
        <v>0</v>
      </c>
    </row>
    <row r="356" spans="13:38" hidden="1" x14ac:dyDescent="0.25">
      <c r="M356" s="3">
        <v>344</v>
      </c>
      <c r="N356" s="3">
        <f t="shared" si="34"/>
        <v>0</v>
      </c>
      <c r="O356" s="6">
        <f t="shared" si="35"/>
        <v>0</v>
      </c>
      <c r="P356" s="6"/>
      <c r="S356" s="23"/>
      <c r="AG356" s="3">
        <v>344</v>
      </c>
      <c r="AI356" s="23">
        <f t="shared" si="36"/>
        <v>0</v>
      </c>
      <c r="AJ356" s="44">
        <f t="shared" si="37"/>
        <v>0</v>
      </c>
      <c r="AL356" s="6">
        <f t="shared" si="38"/>
        <v>0</v>
      </c>
    </row>
    <row r="357" spans="13:38" hidden="1" x14ac:dyDescent="0.25">
      <c r="M357" s="3">
        <v>345</v>
      </c>
      <c r="N357" s="3">
        <f t="shared" si="34"/>
        <v>0</v>
      </c>
      <c r="O357" s="6">
        <f t="shared" si="35"/>
        <v>0</v>
      </c>
      <c r="P357" s="6"/>
      <c r="S357" s="23"/>
      <c r="AG357" s="3">
        <v>345</v>
      </c>
      <c r="AI357" s="23">
        <f t="shared" si="36"/>
        <v>0</v>
      </c>
      <c r="AJ357" s="44">
        <f t="shared" si="37"/>
        <v>0</v>
      </c>
      <c r="AL357" s="6">
        <f t="shared" si="38"/>
        <v>0</v>
      </c>
    </row>
    <row r="358" spans="13:38" hidden="1" x14ac:dyDescent="0.25">
      <c r="M358" s="3">
        <v>346</v>
      </c>
      <c r="N358" s="3">
        <f t="shared" si="34"/>
        <v>0</v>
      </c>
      <c r="O358" s="6">
        <f t="shared" si="35"/>
        <v>0</v>
      </c>
      <c r="P358" s="6"/>
      <c r="S358" s="23"/>
      <c r="AG358" s="3">
        <v>346</v>
      </c>
      <c r="AI358" s="23">
        <f t="shared" si="36"/>
        <v>0</v>
      </c>
      <c r="AJ358" s="44">
        <f t="shared" si="37"/>
        <v>0</v>
      </c>
      <c r="AL358" s="6">
        <f t="shared" si="38"/>
        <v>0</v>
      </c>
    </row>
    <row r="359" spans="13:38" hidden="1" x14ac:dyDescent="0.25">
      <c r="M359" s="3">
        <v>347</v>
      </c>
      <c r="N359" s="3">
        <f t="shared" si="34"/>
        <v>0</v>
      </c>
      <c r="O359" s="6">
        <f t="shared" si="35"/>
        <v>0</v>
      </c>
      <c r="P359" s="6"/>
      <c r="S359" s="23"/>
      <c r="AG359" s="3">
        <v>347</v>
      </c>
      <c r="AI359" s="23">
        <f t="shared" si="36"/>
        <v>0</v>
      </c>
      <c r="AJ359" s="44">
        <f t="shared" si="37"/>
        <v>0</v>
      </c>
      <c r="AL359" s="6">
        <f t="shared" si="38"/>
        <v>0</v>
      </c>
    </row>
    <row r="360" spans="13:38" hidden="1" x14ac:dyDescent="0.25">
      <c r="M360" s="3">
        <v>348</v>
      </c>
      <c r="N360" s="3">
        <f t="shared" si="34"/>
        <v>0</v>
      </c>
      <c r="O360" s="6">
        <f t="shared" si="35"/>
        <v>0</v>
      </c>
      <c r="P360" s="6"/>
      <c r="S360" s="23"/>
      <c r="AG360" s="3">
        <v>348</v>
      </c>
      <c r="AI360" s="23">
        <f t="shared" si="36"/>
        <v>0</v>
      </c>
      <c r="AJ360" s="44">
        <f t="shared" si="37"/>
        <v>0</v>
      </c>
      <c r="AL360" s="6">
        <f t="shared" si="38"/>
        <v>0</v>
      </c>
    </row>
    <row r="361" spans="13:38" hidden="1" x14ac:dyDescent="0.25">
      <c r="M361" s="3">
        <v>349</v>
      </c>
      <c r="N361" s="3">
        <f t="shared" si="34"/>
        <v>0</v>
      </c>
      <c r="O361" s="6">
        <f t="shared" si="35"/>
        <v>0</v>
      </c>
      <c r="P361" s="6"/>
      <c r="S361" s="23"/>
      <c r="AG361" s="3">
        <v>349</v>
      </c>
      <c r="AI361" s="23">
        <f t="shared" si="36"/>
        <v>0</v>
      </c>
      <c r="AJ361" s="44">
        <f t="shared" si="37"/>
        <v>0</v>
      </c>
      <c r="AL361" s="6">
        <f t="shared" si="38"/>
        <v>0</v>
      </c>
    </row>
    <row r="362" spans="13:38" hidden="1" x14ac:dyDescent="0.25">
      <c r="M362" s="3">
        <v>350</v>
      </c>
      <c r="N362" s="3">
        <f t="shared" si="34"/>
        <v>0</v>
      </c>
      <c r="O362" s="6">
        <f t="shared" si="35"/>
        <v>0</v>
      </c>
      <c r="P362" s="6"/>
      <c r="S362" s="23"/>
      <c r="AG362" s="3">
        <v>350</v>
      </c>
      <c r="AI362" s="23">
        <f t="shared" si="36"/>
        <v>0</v>
      </c>
      <c r="AJ362" s="44">
        <f t="shared" si="37"/>
        <v>0</v>
      </c>
      <c r="AL362" s="6">
        <f t="shared" si="38"/>
        <v>0</v>
      </c>
    </row>
    <row r="363" spans="13:38" hidden="1" x14ac:dyDescent="0.25">
      <c r="M363" s="3">
        <v>351</v>
      </c>
      <c r="N363" s="3">
        <f t="shared" si="34"/>
        <v>0</v>
      </c>
      <c r="O363" s="6">
        <f t="shared" si="35"/>
        <v>0</v>
      </c>
      <c r="P363" s="6"/>
      <c r="S363" s="23"/>
      <c r="AG363" s="3">
        <v>351</v>
      </c>
      <c r="AI363" s="23">
        <f t="shared" si="36"/>
        <v>0</v>
      </c>
      <c r="AJ363" s="44">
        <f t="shared" si="37"/>
        <v>0</v>
      </c>
      <c r="AL363" s="6">
        <f t="shared" si="38"/>
        <v>0</v>
      </c>
    </row>
    <row r="364" spans="13:38" hidden="1" x14ac:dyDescent="0.25">
      <c r="M364" s="3">
        <v>352</v>
      </c>
      <c r="N364" s="3">
        <f t="shared" si="34"/>
        <v>0</v>
      </c>
      <c r="O364" s="6">
        <f t="shared" si="35"/>
        <v>0</v>
      </c>
      <c r="P364" s="6"/>
      <c r="S364" s="23"/>
      <c r="AG364" s="3">
        <v>352</v>
      </c>
      <c r="AI364" s="23">
        <f t="shared" si="36"/>
        <v>0</v>
      </c>
      <c r="AJ364" s="44">
        <f t="shared" si="37"/>
        <v>0</v>
      </c>
      <c r="AL364" s="6">
        <f t="shared" si="38"/>
        <v>0</v>
      </c>
    </row>
    <row r="365" spans="13:38" hidden="1" x14ac:dyDescent="0.25">
      <c r="M365" s="3">
        <v>353</v>
      </c>
      <c r="N365" s="3">
        <f t="shared" si="34"/>
        <v>0</v>
      </c>
      <c r="O365" s="6">
        <f t="shared" si="35"/>
        <v>0</v>
      </c>
      <c r="P365" s="6"/>
      <c r="S365" s="23"/>
      <c r="AG365" s="3">
        <v>353</v>
      </c>
      <c r="AI365" s="23">
        <f t="shared" si="36"/>
        <v>0</v>
      </c>
      <c r="AJ365" s="44">
        <f t="shared" si="37"/>
        <v>0</v>
      </c>
      <c r="AL365" s="6">
        <f t="shared" si="38"/>
        <v>0</v>
      </c>
    </row>
    <row r="366" spans="13:38" hidden="1" x14ac:dyDescent="0.25">
      <c r="M366" s="3">
        <v>354</v>
      </c>
      <c r="N366" s="3">
        <f t="shared" si="34"/>
        <v>0</v>
      </c>
      <c r="O366" s="6">
        <f t="shared" si="35"/>
        <v>0</v>
      </c>
      <c r="P366" s="6"/>
      <c r="S366" s="23"/>
      <c r="AG366" s="3">
        <v>354</v>
      </c>
      <c r="AI366" s="23">
        <f t="shared" si="36"/>
        <v>0</v>
      </c>
      <c r="AJ366" s="44">
        <f t="shared" si="37"/>
        <v>0</v>
      </c>
      <c r="AL366" s="6">
        <f t="shared" si="38"/>
        <v>0</v>
      </c>
    </row>
    <row r="367" spans="13:38" hidden="1" x14ac:dyDescent="0.25">
      <c r="M367" s="3">
        <v>355</v>
      </c>
      <c r="N367" s="3">
        <f t="shared" si="34"/>
        <v>0</v>
      </c>
      <c r="O367" s="6">
        <f t="shared" si="35"/>
        <v>0</v>
      </c>
      <c r="P367" s="6"/>
      <c r="S367" s="23"/>
      <c r="AG367" s="3">
        <v>355</v>
      </c>
      <c r="AI367" s="23">
        <f t="shared" si="36"/>
        <v>0</v>
      </c>
      <c r="AJ367" s="44">
        <f t="shared" si="37"/>
        <v>0</v>
      </c>
      <c r="AL367" s="6">
        <f t="shared" si="38"/>
        <v>0</v>
      </c>
    </row>
    <row r="368" spans="13:38" hidden="1" x14ac:dyDescent="0.25">
      <c r="M368" s="3">
        <v>356</v>
      </c>
      <c r="N368" s="3">
        <f t="shared" si="34"/>
        <v>0</v>
      </c>
      <c r="O368" s="6">
        <f t="shared" si="35"/>
        <v>0</v>
      </c>
      <c r="P368" s="6"/>
      <c r="S368" s="23"/>
      <c r="AG368" s="3">
        <v>356</v>
      </c>
      <c r="AI368" s="23">
        <f t="shared" si="36"/>
        <v>0</v>
      </c>
      <c r="AJ368" s="44">
        <f t="shared" si="37"/>
        <v>0</v>
      </c>
      <c r="AL368" s="6">
        <f t="shared" si="38"/>
        <v>0</v>
      </c>
    </row>
    <row r="369" spans="13:38" hidden="1" x14ac:dyDescent="0.25">
      <c r="M369" s="3">
        <v>357</v>
      </c>
      <c r="N369" s="3">
        <f t="shared" si="34"/>
        <v>0</v>
      </c>
      <c r="O369" s="6">
        <f t="shared" si="35"/>
        <v>0</v>
      </c>
      <c r="P369" s="6"/>
      <c r="S369" s="23"/>
      <c r="AG369" s="3">
        <v>357</v>
      </c>
      <c r="AI369" s="23">
        <f t="shared" si="36"/>
        <v>0</v>
      </c>
      <c r="AJ369" s="44">
        <f t="shared" si="37"/>
        <v>0</v>
      </c>
      <c r="AL369" s="6">
        <f t="shared" si="38"/>
        <v>0</v>
      </c>
    </row>
    <row r="370" spans="13:38" hidden="1" x14ac:dyDescent="0.25">
      <c r="M370" s="3">
        <v>358</v>
      </c>
      <c r="N370" s="3">
        <f t="shared" si="34"/>
        <v>0</v>
      </c>
      <c r="O370" s="6">
        <f t="shared" si="35"/>
        <v>0</v>
      </c>
      <c r="P370" s="6"/>
      <c r="S370" s="23"/>
      <c r="AG370" s="3">
        <v>358</v>
      </c>
      <c r="AI370" s="23">
        <f t="shared" si="36"/>
        <v>0</v>
      </c>
      <c r="AJ370" s="44">
        <f t="shared" si="37"/>
        <v>0</v>
      </c>
      <c r="AL370" s="6">
        <f t="shared" si="38"/>
        <v>0</v>
      </c>
    </row>
    <row r="371" spans="13:38" hidden="1" x14ac:dyDescent="0.25">
      <c r="M371" s="3">
        <v>359</v>
      </c>
      <c r="N371" s="3">
        <f t="shared" si="34"/>
        <v>0</v>
      </c>
      <c r="O371" s="6">
        <f t="shared" si="35"/>
        <v>0</v>
      </c>
      <c r="P371" s="6"/>
      <c r="S371" s="23"/>
      <c r="AG371" s="3">
        <v>359</v>
      </c>
      <c r="AI371" s="23">
        <f t="shared" si="36"/>
        <v>0</v>
      </c>
      <c r="AJ371" s="44">
        <f t="shared" si="37"/>
        <v>0</v>
      </c>
      <c r="AL371" s="6">
        <f t="shared" si="38"/>
        <v>0</v>
      </c>
    </row>
    <row r="372" spans="13:38" hidden="1" x14ac:dyDescent="0.25">
      <c r="M372" s="3">
        <v>360</v>
      </c>
      <c r="N372" s="3">
        <f t="shared" si="34"/>
        <v>0</v>
      </c>
      <c r="O372" s="6">
        <f t="shared" si="35"/>
        <v>0</v>
      </c>
      <c r="P372" s="6"/>
      <c r="S372" s="23"/>
      <c r="AG372" s="3">
        <v>360</v>
      </c>
      <c r="AI372" s="23">
        <f t="shared" si="36"/>
        <v>0</v>
      </c>
      <c r="AJ372" s="44">
        <f t="shared" si="37"/>
        <v>0</v>
      </c>
      <c r="AL372" s="6">
        <f t="shared" si="38"/>
        <v>0</v>
      </c>
    </row>
    <row r="373" spans="13:38" hidden="1" x14ac:dyDescent="0.25">
      <c r="M373" s="3">
        <v>361</v>
      </c>
      <c r="N373" s="3">
        <f t="shared" si="34"/>
        <v>0</v>
      </c>
      <c r="O373" s="6">
        <f t="shared" si="35"/>
        <v>0</v>
      </c>
      <c r="P373" s="6"/>
      <c r="S373" s="23"/>
      <c r="AG373" s="3">
        <v>361</v>
      </c>
      <c r="AI373" s="23">
        <f t="shared" si="36"/>
        <v>0</v>
      </c>
      <c r="AJ373" s="44">
        <f t="shared" si="37"/>
        <v>0</v>
      </c>
      <c r="AL373" s="6">
        <f t="shared" si="38"/>
        <v>0</v>
      </c>
    </row>
    <row r="374" spans="13:38" hidden="1" x14ac:dyDescent="0.25">
      <c r="M374" s="3">
        <v>362</v>
      </c>
      <c r="N374" s="3">
        <f t="shared" si="34"/>
        <v>0</v>
      </c>
      <c r="O374" s="6">
        <f t="shared" si="35"/>
        <v>0</v>
      </c>
      <c r="P374" s="6"/>
      <c r="S374" s="23"/>
      <c r="AG374" s="3">
        <v>362</v>
      </c>
      <c r="AI374" s="23">
        <f t="shared" si="36"/>
        <v>0</v>
      </c>
      <c r="AJ374" s="44">
        <f t="shared" si="37"/>
        <v>0</v>
      </c>
      <c r="AL374" s="6">
        <f t="shared" si="38"/>
        <v>0</v>
      </c>
    </row>
    <row r="375" spans="13:38" hidden="1" x14ac:dyDescent="0.25">
      <c r="M375" s="3">
        <v>363</v>
      </c>
      <c r="N375" s="3">
        <f t="shared" si="34"/>
        <v>0</v>
      </c>
      <c r="O375" s="6">
        <f t="shared" si="35"/>
        <v>0</v>
      </c>
      <c r="P375" s="6"/>
      <c r="S375" s="23"/>
      <c r="AG375" s="3">
        <v>363</v>
      </c>
      <c r="AI375" s="23">
        <f t="shared" si="36"/>
        <v>0</v>
      </c>
      <c r="AJ375" s="44">
        <f t="shared" si="37"/>
        <v>0</v>
      </c>
      <c r="AL375" s="6">
        <f t="shared" si="38"/>
        <v>0</v>
      </c>
    </row>
    <row r="376" spans="13:38" hidden="1" x14ac:dyDescent="0.25">
      <c r="M376" s="3">
        <v>364</v>
      </c>
      <c r="N376" s="3">
        <f t="shared" si="34"/>
        <v>0</v>
      </c>
      <c r="O376" s="6">
        <f t="shared" si="35"/>
        <v>0</v>
      </c>
      <c r="P376" s="6"/>
      <c r="S376" s="23"/>
      <c r="AG376" s="3">
        <v>364</v>
      </c>
      <c r="AI376" s="23">
        <f t="shared" si="36"/>
        <v>0</v>
      </c>
      <c r="AJ376" s="44">
        <f t="shared" si="37"/>
        <v>0</v>
      </c>
      <c r="AL376" s="6">
        <f t="shared" si="38"/>
        <v>0</v>
      </c>
    </row>
    <row r="377" spans="13:38" hidden="1" x14ac:dyDescent="0.25">
      <c r="M377" s="3">
        <v>365</v>
      </c>
      <c r="N377" s="3">
        <f t="shared" si="34"/>
        <v>0</v>
      </c>
      <c r="O377" s="6">
        <f t="shared" si="35"/>
        <v>0</v>
      </c>
      <c r="P377" s="6"/>
      <c r="S377" s="23"/>
      <c r="AG377" s="3">
        <v>365</v>
      </c>
      <c r="AI377" s="23">
        <f t="shared" si="36"/>
        <v>0</v>
      </c>
      <c r="AJ377" s="44">
        <f t="shared" si="37"/>
        <v>0</v>
      </c>
      <c r="AL377" s="6">
        <f t="shared" si="38"/>
        <v>0</v>
      </c>
    </row>
    <row r="378" spans="13:38" hidden="1" x14ac:dyDescent="0.25">
      <c r="M378" s="3">
        <v>366</v>
      </c>
      <c r="N378" s="3">
        <f t="shared" si="34"/>
        <v>0</v>
      </c>
      <c r="O378" s="6">
        <f t="shared" si="35"/>
        <v>0</v>
      </c>
      <c r="P378" s="6"/>
      <c r="S378" s="23"/>
      <c r="AG378" s="3">
        <v>366</v>
      </c>
      <c r="AI378" s="23">
        <f t="shared" si="36"/>
        <v>0</v>
      </c>
      <c r="AJ378" s="44">
        <f t="shared" si="37"/>
        <v>0</v>
      </c>
      <c r="AL378" s="6">
        <f t="shared" si="38"/>
        <v>0</v>
      </c>
    </row>
    <row r="379" spans="13:38" hidden="1" x14ac:dyDescent="0.25">
      <c r="M379" s="3">
        <v>367</v>
      </c>
      <c r="N379" s="3">
        <f t="shared" si="34"/>
        <v>0</v>
      </c>
      <c r="O379" s="6">
        <f t="shared" si="35"/>
        <v>0</v>
      </c>
      <c r="P379" s="6"/>
      <c r="S379" s="23"/>
      <c r="AG379" s="3">
        <v>367</v>
      </c>
      <c r="AI379" s="23">
        <f t="shared" si="36"/>
        <v>0</v>
      </c>
      <c r="AJ379" s="44">
        <f t="shared" si="37"/>
        <v>0</v>
      </c>
      <c r="AL379" s="6">
        <f t="shared" si="38"/>
        <v>0</v>
      </c>
    </row>
    <row r="380" spans="13:38" hidden="1" x14ac:dyDescent="0.25">
      <c r="M380" s="3">
        <v>368</v>
      </c>
      <c r="N380" s="3">
        <f t="shared" si="34"/>
        <v>0</v>
      </c>
      <c r="O380" s="6">
        <f t="shared" si="35"/>
        <v>0</v>
      </c>
      <c r="P380" s="6"/>
      <c r="S380" s="23"/>
      <c r="AG380" s="3">
        <v>368</v>
      </c>
      <c r="AI380" s="23">
        <f t="shared" si="36"/>
        <v>0</v>
      </c>
      <c r="AJ380" s="44">
        <f t="shared" si="37"/>
        <v>0</v>
      </c>
      <c r="AL380" s="6">
        <f t="shared" si="38"/>
        <v>0</v>
      </c>
    </row>
    <row r="381" spans="13:38" hidden="1" x14ac:dyDescent="0.25">
      <c r="M381" s="3">
        <v>369</v>
      </c>
      <c r="N381" s="3">
        <f t="shared" si="34"/>
        <v>0</v>
      </c>
      <c r="O381" s="6">
        <f t="shared" si="35"/>
        <v>0</v>
      </c>
      <c r="P381" s="6"/>
      <c r="S381" s="23"/>
      <c r="AG381" s="3">
        <v>369</v>
      </c>
      <c r="AI381" s="23">
        <f t="shared" si="36"/>
        <v>0</v>
      </c>
      <c r="AJ381" s="44">
        <f t="shared" si="37"/>
        <v>0</v>
      </c>
      <c r="AL381" s="6">
        <f t="shared" si="38"/>
        <v>0</v>
      </c>
    </row>
    <row r="382" spans="13:38" hidden="1" x14ac:dyDescent="0.25">
      <c r="M382" s="3">
        <v>370</v>
      </c>
      <c r="N382" s="3">
        <f t="shared" si="34"/>
        <v>0</v>
      </c>
      <c r="O382" s="6">
        <f t="shared" si="35"/>
        <v>0</v>
      </c>
      <c r="P382" s="6"/>
      <c r="S382" s="23"/>
      <c r="AG382" s="3">
        <v>370</v>
      </c>
      <c r="AI382" s="23">
        <f t="shared" si="36"/>
        <v>0</v>
      </c>
      <c r="AJ382" s="44">
        <f t="shared" si="37"/>
        <v>0</v>
      </c>
      <c r="AL382" s="6">
        <f t="shared" si="38"/>
        <v>0</v>
      </c>
    </row>
    <row r="383" spans="13:38" hidden="1" x14ac:dyDescent="0.25">
      <c r="M383" s="3">
        <v>371</v>
      </c>
      <c r="N383" s="3">
        <f t="shared" si="34"/>
        <v>0</v>
      </c>
      <c r="O383" s="6">
        <f t="shared" si="35"/>
        <v>0</v>
      </c>
      <c r="P383" s="6"/>
      <c r="S383" s="23"/>
      <c r="AG383" s="3">
        <v>371</v>
      </c>
      <c r="AI383" s="23">
        <f t="shared" si="36"/>
        <v>0</v>
      </c>
      <c r="AJ383" s="44">
        <f t="shared" si="37"/>
        <v>0</v>
      </c>
      <c r="AL383" s="6">
        <f t="shared" si="38"/>
        <v>0</v>
      </c>
    </row>
    <row r="384" spans="13:38" hidden="1" x14ac:dyDescent="0.25">
      <c r="M384" s="3">
        <v>372</v>
      </c>
      <c r="N384" s="3">
        <f t="shared" si="34"/>
        <v>0</v>
      </c>
      <c r="O384" s="6">
        <f t="shared" si="35"/>
        <v>0</v>
      </c>
      <c r="P384" s="6"/>
      <c r="S384" s="23"/>
      <c r="AG384" s="3">
        <v>372</v>
      </c>
      <c r="AI384" s="23">
        <f t="shared" si="36"/>
        <v>0</v>
      </c>
      <c r="AJ384" s="44">
        <f t="shared" si="37"/>
        <v>0</v>
      </c>
      <c r="AL384" s="6">
        <f t="shared" si="38"/>
        <v>0</v>
      </c>
    </row>
    <row r="385" spans="13:38" hidden="1" x14ac:dyDescent="0.25">
      <c r="M385" s="3">
        <v>373</v>
      </c>
      <c r="N385" s="3">
        <f t="shared" si="34"/>
        <v>0</v>
      </c>
      <c r="O385" s="6">
        <f t="shared" si="35"/>
        <v>0</v>
      </c>
      <c r="P385" s="6"/>
      <c r="S385" s="23"/>
      <c r="AG385" s="3">
        <v>373</v>
      </c>
      <c r="AI385" s="23">
        <f t="shared" si="36"/>
        <v>0</v>
      </c>
      <c r="AJ385" s="44">
        <f t="shared" si="37"/>
        <v>0</v>
      </c>
      <c r="AL385" s="6">
        <f t="shared" si="38"/>
        <v>0</v>
      </c>
    </row>
    <row r="386" spans="13:38" hidden="1" x14ac:dyDescent="0.25">
      <c r="M386" s="3">
        <v>374</v>
      </c>
      <c r="N386" s="3">
        <f t="shared" si="34"/>
        <v>0</v>
      </c>
      <c r="O386" s="6">
        <f t="shared" si="35"/>
        <v>0</v>
      </c>
      <c r="P386" s="6"/>
      <c r="S386" s="23"/>
      <c r="AG386" s="3">
        <v>374</v>
      </c>
      <c r="AI386" s="23">
        <f t="shared" si="36"/>
        <v>0</v>
      </c>
      <c r="AJ386" s="44">
        <f t="shared" si="37"/>
        <v>0</v>
      </c>
      <c r="AL386" s="6">
        <f t="shared" si="38"/>
        <v>0</v>
      </c>
    </row>
    <row r="387" spans="13:38" hidden="1" x14ac:dyDescent="0.25">
      <c r="M387" s="3">
        <v>375</v>
      </c>
      <c r="N387" s="3">
        <f t="shared" si="34"/>
        <v>0</v>
      </c>
      <c r="O387" s="6">
        <f t="shared" si="35"/>
        <v>0</v>
      </c>
      <c r="P387" s="6"/>
      <c r="S387" s="23"/>
      <c r="AG387" s="3">
        <v>375</v>
      </c>
      <c r="AI387" s="23">
        <f t="shared" si="36"/>
        <v>0</v>
      </c>
      <c r="AJ387" s="44">
        <f t="shared" si="37"/>
        <v>0</v>
      </c>
      <c r="AL387" s="6">
        <f t="shared" si="38"/>
        <v>0</v>
      </c>
    </row>
    <row r="388" spans="13:38" hidden="1" x14ac:dyDescent="0.25">
      <c r="M388" s="3">
        <v>376</v>
      </c>
      <c r="N388" s="3">
        <f t="shared" si="34"/>
        <v>0</v>
      </c>
      <c r="O388" s="6">
        <f t="shared" si="35"/>
        <v>0</v>
      </c>
      <c r="P388" s="6"/>
      <c r="S388" s="23"/>
      <c r="AG388" s="3">
        <v>376</v>
      </c>
      <c r="AI388" s="23">
        <f t="shared" si="36"/>
        <v>0</v>
      </c>
      <c r="AJ388" s="44">
        <f t="shared" si="37"/>
        <v>0</v>
      </c>
      <c r="AL388" s="6">
        <f t="shared" si="38"/>
        <v>0</v>
      </c>
    </row>
    <row r="389" spans="13:38" hidden="1" x14ac:dyDescent="0.25">
      <c r="M389" s="3">
        <v>377</v>
      </c>
      <c r="N389" s="3">
        <f t="shared" si="34"/>
        <v>0</v>
      </c>
      <c r="O389" s="6">
        <f t="shared" si="35"/>
        <v>0</v>
      </c>
      <c r="P389" s="6"/>
      <c r="S389" s="23"/>
      <c r="AG389" s="3">
        <v>377</v>
      </c>
      <c r="AI389" s="23">
        <f t="shared" si="36"/>
        <v>0</v>
      </c>
      <c r="AJ389" s="44">
        <f t="shared" si="37"/>
        <v>0</v>
      </c>
      <c r="AL389" s="6">
        <f t="shared" si="38"/>
        <v>0</v>
      </c>
    </row>
    <row r="390" spans="13:38" hidden="1" x14ac:dyDescent="0.25">
      <c r="M390" s="3">
        <v>378</v>
      </c>
      <c r="N390" s="3">
        <f t="shared" si="34"/>
        <v>0</v>
      </c>
      <c r="O390" s="6">
        <f t="shared" si="35"/>
        <v>0</v>
      </c>
      <c r="P390" s="6"/>
      <c r="S390" s="23"/>
      <c r="AG390" s="3">
        <v>378</v>
      </c>
      <c r="AI390" s="23">
        <f t="shared" si="36"/>
        <v>0</v>
      </c>
      <c r="AJ390" s="44">
        <f t="shared" si="37"/>
        <v>0</v>
      </c>
      <c r="AL390" s="6">
        <f t="shared" si="38"/>
        <v>0</v>
      </c>
    </row>
    <row r="391" spans="13:38" hidden="1" x14ac:dyDescent="0.25">
      <c r="M391" s="3">
        <v>379</v>
      </c>
      <c r="N391" s="3">
        <f t="shared" si="34"/>
        <v>0</v>
      </c>
      <c r="O391" s="6">
        <f t="shared" si="35"/>
        <v>0</v>
      </c>
      <c r="P391" s="6"/>
      <c r="S391" s="23"/>
      <c r="AG391" s="3">
        <v>379</v>
      </c>
      <c r="AI391" s="23">
        <f t="shared" si="36"/>
        <v>0</v>
      </c>
      <c r="AJ391" s="44">
        <f t="shared" si="37"/>
        <v>0</v>
      </c>
      <c r="AL391" s="6">
        <f t="shared" si="38"/>
        <v>0</v>
      </c>
    </row>
    <row r="392" spans="13:38" hidden="1" x14ac:dyDescent="0.25">
      <c r="M392" s="3">
        <v>380</v>
      </c>
      <c r="N392" s="3">
        <f t="shared" si="34"/>
        <v>0</v>
      </c>
      <c r="O392" s="6">
        <f t="shared" si="35"/>
        <v>0</v>
      </c>
      <c r="P392" s="6"/>
      <c r="S392" s="23"/>
      <c r="AG392" s="3">
        <v>380</v>
      </c>
      <c r="AI392" s="23">
        <f t="shared" si="36"/>
        <v>0</v>
      </c>
      <c r="AJ392" s="44">
        <f t="shared" si="37"/>
        <v>0</v>
      </c>
      <c r="AL392" s="6">
        <f t="shared" si="38"/>
        <v>0</v>
      </c>
    </row>
    <row r="393" spans="13:38" hidden="1" x14ac:dyDescent="0.25">
      <c r="M393" s="3">
        <v>381</v>
      </c>
      <c r="N393" s="3">
        <f t="shared" si="34"/>
        <v>0</v>
      </c>
      <c r="O393" s="6">
        <f t="shared" si="35"/>
        <v>0</v>
      </c>
      <c r="P393" s="6"/>
      <c r="S393" s="23"/>
      <c r="AG393" s="3">
        <v>381</v>
      </c>
      <c r="AI393" s="23">
        <f t="shared" si="36"/>
        <v>0</v>
      </c>
      <c r="AJ393" s="44">
        <f t="shared" si="37"/>
        <v>0</v>
      </c>
      <c r="AL393" s="6">
        <f t="shared" si="38"/>
        <v>0</v>
      </c>
    </row>
    <row r="394" spans="13:38" hidden="1" x14ac:dyDescent="0.25">
      <c r="M394" s="3">
        <v>382</v>
      </c>
      <c r="N394" s="3">
        <f t="shared" si="34"/>
        <v>0</v>
      </c>
      <c r="O394" s="6">
        <f t="shared" si="35"/>
        <v>0</v>
      </c>
      <c r="P394" s="6"/>
      <c r="S394" s="23"/>
      <c r="AG394" s="3">
        <v>382</v>
      </c>
      <c r="AI394" s="23">
        <f t="shared" si="36"/>
        <v>0</v>
      </c>
      <c r="AJ394" s="44">
        <f t="shared" si="37"/>
        <v>0</v>
      </c>
      <c r="AL394" s="6">
        <f t="shared" si="38"/>
        <v>0</v>
      </c>
    </row>
    <row r="395" spans="13:38" hidden="1" x14ac:dyDescent="0.25">
      <c r="M395" s="3">
        <v>383</v>
      </c>
      <c r="N395" s="3">
        <f t="shared" si="34"/>
        <v>0</v>
      </c>
      <c r="O395" s="6">
        <f t="shared" si="35"/>
        <v>0</v>
      </c>
      <c r="P395" s="6"/>
      <c r="S395" s="23"/>
      <c r="AG395" s="3">
        <v>383</v>
      </c>
      <c r="AI395" s="23">
        <f t="shared" si="36"/>
        <v>0</v>
      </c>
      <c r="AJ395" s="44">
        <f t="shared" si="37"/>
        <v>0</v>
      </c>
      <c r="AL395" s="6">
        <f t="shared" si="38"/>
        <v>0</v>
      </c>
    </row>
    <row r="396" spans="13:38" hidden="1" x14ac:dyDescent="0.25">
      <c r="M396" s="3">
        <v>384</v>
      </c>
      <c r="N396" s="3">
        <f t="shared" si="34"/>
        <v>0</v>
      </c>
      <c r="O396" s="6">
        <f t="shared" si="35"/>
        <v>0</v>
      </c>
      <c r="P396" s="6"/>
      <c r="S396" s="23"/>
      <c r="AG396" s="3">
        <v>384</v>
      </c>
      <c r="AI396" s="23">
        <f t="shared" si="36"/>
        <v>0</v>
      </c>
      <c r="AJ396" s="44">
        <f t="shared" si="37"/>
        <v>0</v>
      </c>
      <c r="AL396" s="6">
        <f t="shared" si="38"/>
        <v>0</v>
      </c>
    </row>
    <row r="397" spans="13:38" hidden="1" x14ac:dyDescent="0.25">
      <c r="M397" s="3">
        <v>385</v>
      </c>
      <c r="N397" s="3">
        <f t="shared" ref="N397:N460" si="39">IF(M397&lt;=IF($T$6=1,$O$8,ROUNDUP($J$8,0)),SIPAmount,0)</f>
        <v>0</v>
      </c>
      <c r="O397" s="6">
        <f t="shared" ref="O397:O460" si="40">FV(SIPRate,M397,-N397,0,1)</f>
        <v>0</v>
      </c>
      <c r="P397" s="6"/>
      <c r="S397" s="23"/>
      <c r="AG397" s="3">
        <v>385</v>
      </c>
      <c r="AI397" s="23">
        <f t="shared" si="36"/>
        <v>0</v>
      </c>
      <c r="AJ397" s="44">
        <f t="shared" si="37"/>
        <v>0</v>
      </c>
      <c r="AL397" s="6">
        <f t="shared" si="38"/>
        <v>0</v>
      </c>
    </row>
    <row r="398" spans="13:38" hidden="1" x14ac:dyDescent="0.25">
      <c r="M398" s="3">
        <v>386</v>
      </c>
      <c r="N398" s="3">
        <f t="shared" si="39"/>
        <v>0</v>
      </c>
      <c r="O398" s="6">
        <f t="shared" si="40"/>
        <v>0</v>
      </c>
      <c r="P398" s="6"/>
      <c r="S398" s="23"/>
      <c r="AG398" s="3">
        <v>386</v>
      </c>
      <c r="AI398" s="23">
        <f t="shared" ref="AI398:AI461" si="41">IF(AG398&lt;=$O$8,FV($O$3,AG398,-$O$5,0,1),0)</f>
        <v>0</v>
      </c>
      <c r="AJ398" s="44">
        <f t="shared" ref="AJ398:AJ461" si="42">IF(OR(AJ397=0,AJ397&gt;=$C$15),0,FV($O$3,AG398,-$C$17,0,1))</f>
        <v>0</v>
      </c>
      <c r="AL398" s="6">
        <f t="shared" ref="AL398:AL461" si="43">O398</f>
        <v>0</v>
      </c>
    </row>
    <row r="399" spans="13:38" hidden="1" x14ac:dyDescent="0.25">
      <c r="M399" s="3">
        <v>387</v>
      </c>
      <c r="N399" s="3">
        <f t="shared" si="39"/>
        <v>0</v>
      </c>
      <c r="O399" s="6">
        <f t="shared" si="40"/>
        <v>0</v>
      </c>
      <c r="P399" s="6"/>
      <c r="S399" s="23"/>
      <c r="AG399" s="3">
        <v>387</v>
      </c>
      <c r="AI399" s="23">
        <f t="shared" si="41"/>
        <v>0</v>
      </c>
      <c r="AJ399" s="44">
        <f t="shared" si="42"/>
        <v>0</v>
      </c>
      <c r="AL399" s="6">
        <f t="shared" si="43"/>
        <v>0</v>
      </c>
    </row>
    <row r="400" spans="13:38" hidden="1" x14ac:dyDescent="0.25">
      <c r="M400" s="3">
        <v>388</v>
      </c>
      <c r="N400" s="3">
        <f t="shared" si="39"/>
        <v>0</v>
      </c>
      <c r="O400" s="6">
        <f t="shared" si="40"/>
        <v>0</v>
      </c>
      <c r="P400" s="6"/>
      <c r="S400" s="23"/>
      <c r="AG400" s="3">
        <v>388</v>
      </c>
      <c r="AI400" s="23">
        <f t="shared" si="41"/>
        <v>0</v>
      </c>
      <c r="AJ400" s="44">
        <f t="shared" si="42"/>
        <v>0</v>
      </c>
      <c r="AL400" s="6">
        <f t="shared" si="43"/>
        <v>0</v>
      </c>
    </row>
    <row r="401" spans="13:38" hidden="1" x14ac:dyDescent="0.25">
      <c r="M401" s="3">
        <v>389</v>
      </c>
      <c r="N401" s="3">
        <f t="shared" si="39"/>
        <v>0</v>
      </c>
      <c r="O401" s="6">
        <f t="shared" si="40"/>
        <v>0</v>
      </c>
      <c r="P401" s="6"/>
      <c r="S401" s="23"/>
      <c r="AG401" s="3">
        <v>389</v>
      </c>
      <c r="AI401" s="23">
        <f t="shared" si="41"/>
        <v>0</v>
      </c>
      <c r="AJ401" s="44">
        <f t="shared" si="42"/>
        <v>0</v>
      </c>
      <c r="AL401" s="6">
        <f t="shared" si="43"/>
        <v>0</v>
      </c>
    </row>
    <row r="402" spans="13:38" hidden="1" x14ac:dyDescent="0.25">
      <c r="M402" s="3">
        <v>390</v>
      </c>
      <c r="N402" s="3">
        <f t="shared" si="39"/>
        <v>0</v>
      </c>
      <c r="O402" s="6">
        <f t="shared" si="40"/>
        <v>0</v>
      </c>
      <c r="P402" s="6"/>
      <c r="S402" s="23"/>
      <c r="AG402" s="3">
        <v>390</v>
      </c>
      <c r="AI402" s="23">
        <f t="shared" si="41"/>
        <v>0</v>
      </c>
      <c r="AJ402" s="44">
        <f t="shared" si="42"/>
        <v>0</v>
      </c>
      <c r="AL402" s="6">
        <f t="shared" si="43"/>
        <v>0</v>
      </c>
    </row>
    <row r="403" spans="13:38" hidden="1" x14ac:dyDescent="0.25">
      <c r="M403" s="3">
        <v>391</v>
      </c>
      <c r="N403" s="3">
        <f t="shared" si="39"/>
        <v>0</v>
      </c>
      <c r="O403" s="6">
        <f t="shared" si="40"/>
        <v>0</v>
      </c>
      <c r="P403" s="6"/>
      <c r="S403" s="23"/>
      <c r="AG403" s="3">
        <v>391</v>
      </c>
      <c r="AI403" s="23">
        <f t="shared" si="41"/>
        <v>0</v>
      </c>
      <c r="AJ403" s="44">
        <f t="shared" si="42"/>
        <v>0</v>
      </c>
      <c r="AL403" s="6">
        <f t="shared" si="43"/>
        <v>0</v>
      </c>
    </row>
    <row r="404" spans="13:38" hidden="1" x14ac:dyDescent="0.25">
      <c r="M404" s="3">
        <v>392</v>
      </c>
      <c r="N404" s="3">
        <f t="shared" si="39"/>
        <v>0</v>
      </c>
      <c r="O404" s="6">
        <f t="shared" si="40"/>
        <v>0</v>
      </c>
      <c r="P404" s="6"/>
      <c r="S404" s="23"/>
      <c r="AG404" s="3">
        <v>392</v>
      </c>
      <c r="AI404" s="23">
        <f t="shared" si="41"/>
        <v>0</v>
      </c>
      <c r="AJ404" s="44">
        <f t="shared" si="42"/>
        <v>0</v>
      </c>
      <c r="AL404" s="6">
        <f t="shared" si="43"/>
        <v>0</v>
      </c>
    </row>
    <row r="405" spans="13:38" hidden="1" x14ac:dyDescent="0.25">
      <c r="M405" s="3">
        <v>393</v>
      </c>
      <c r="N405" s="3">
        <f t="shared" si="39"/>
        <v>0</v>
      </c>
      <c r="O405" s="6">
        <f t="shared" si="40"/>
        <v>0</v>
      </c>
      <c r="P405" s="6"/>
      <c r="S405" s="23"/>
      <c r="AG405" s="3">
        <v>393</v>
      </c>
      <c r="AI405" s="23">
        <f t="shared" si="41"/>
        <v>0</v>
      </c>
      <c r="AJ405" s="44">
        <f t="shared" si="42"/>
        <v>0</v>
      </c>
      <c r="AL405" s="6">
        <f t="shared" si="43"/>
        <v>0</v>
      </c>
    </row>
    <row r="406" spans="13:38" hidden="1" x14ac:dyDescent="0.25">
      <c r="M406" s="3">
        <v>394</v>
      </c>
      <c r="N406" s="3">
        <f t="shared" si="39"/>
        <v>0</v>
      </c>
      <c r="O406" s="6">
        <f t="shared" si="40"/>
        <v>0</v>
      </c>
      <c r="P406" s="6"/>
      <c r="S406" s="23"/>
      <c r="AG406" s="3">
        <v>394</v>
      </c>
      <c r="AI406" s="23">
        <f t="shared" si="41"/>
        <v>0</v>
      </c>
      <c r="AJ406" s="44">
        <f t="shared" si="42"/>
        <v>0</v>
      </c>
      <c r="AL406" s="6">
        <f t="shared" si="43"/>
        <v>0</v>
      </c>
    </row>
    <row r="407" spans="13:38" hidden="1" x14ac:dyDescent="0.25">
      <c r="M407" s="3">
        <v>395</v>
      </c>
      <c r="N407" s="3">
        <f t="shared" si="39"/>
        <v>0</v>
      </c>
      <c r="O407" s="6">
        <f t="shared" si="40"/>
        <v>0</v>
      </c>
      <c r="P407" s="6"/>
      <c r="S407" s="23"/>
      <c r="AG407" s="3">
        <v>395</v>
      </c>
      <c r="AI407" s="23">
        <f t="shared" si="41"/>
        <v>0</v>
      </c>
      <c r="AJ407" s="44">
        <f t="shared" si="42"/>
        <v>0</v>
      </c>
      <c r="AL407" s="6">
        <f t="shared" si="43"/>
        <v>0</v>
      </c>
    </row>
    <row r="408" spans="13:38" hidden="1" x14ac:dyDescent="0.25">
      <c r="M408" s="3">
        <v>396</v>
      </c>
      <c r="N408" s="3">
        <f t="shared" si="39"/>
        <v>0</v>
      </c>
      <c r="O408" s="6">
        <f t="shared" si="40"/>
        <v>0</v>
      </c>
      <c r="P408" s="6"/>
      <c r="S408" s="23"/>
      <c r="AG408" s="3">
        <v>396</v>
      </c>
      <c r="AI408" s="23">
        <f t="shared" si="41"/>
        <v>0</v>
      </c>
      <c r="AJ408" s="44">
        <f t="shared" si="42"/>
        <v>0</v>
      </c>
      <c r="AL408" s="6">
        <f t="shared" si="43"/>
        <v>0</v>
      </c>
    </row>
    <row r="409" spans="13:38" hidden="1" x14ac:dyDescent="0.25">
      <c r="M409" s="3">
        <v>397</v>
      </c>
      <c r="N409" s="3">
        <f t="shared" si="39"/>
        <v>0</v>
      </c>
      <c r="O409" s="6">
        <f t="shared" si="40"/>
        <v>0</v>
      </c>
      <c r="P409" s="6"/>
      <c r="S409" s="23"/>
      <c r="AG409" s="3">
        <v>397</v>
      </c>
      <c r="AI409" s="23">
        <f t="shared" si="41"/>
        <v>0</v>
      </c>
      <c r="AJ409" s="44">
        <f t="shared" si="42"/>
        <v>0</v>
      </c>
      <c r="AL409" s="6">
        <f t="shared" si="43"/>
        <v>0</v>
      </c>
    </row>
    <row r="410" spans="13:38" hidden="1" x14ac:dyDescent="0.25">
      <c r="M410" s="3">
        <v>398</v>
      </c>
      <c r="N410" s="3">
        <f t="shared" si="39"/>
        <v>0</v>
      </c>
      <c r="O410" s="6">
        <f t="shared" si="40"/>
        <v>0</v>
      </c>
      <c r="P410" s="6"/>
      <c r="S410" s="23"/>
      <c r="AG410" s="3">
        <v>398</v>
      </c>
      <c r="AI410" s="23">
        <f t="shared" si="41"/>
        <v>0</v>
      </c>
      <c r="AJ410" s="44">
        <f t="shared" si="42"/>
        <v>0</v>
      </c>
      <c r="AL410" s="6">
        <f t="shared" si="43"/>
        <v>0</v>
      </c>
    </row>
    <row r="411" spans="13:38" hidden="1" x14ac:dyDescent="0.25">
      <c r="M411" s="3">
        <v>399</v>
      </c>
      <c r="N411" s="3">
        <f t="shared" si="39"/>
        <v>0</v>
      </c>
      <c r="O411" s="6">
        <f t="shared" si="40"/>
        <v>0</v>
      </c>
      <c r="P411" s="6"/>
      <c r="S411" s="23"/>
      <c r="AG411" s="3">
        <v>399</v>
      </c>
      <c r="AI411" s="23">
        <f t="shared" si="41"/>
        <v>0</v>
      </c>
      <c r="AJ411" s="44">
        <f t="shared" si="42"/>
        <v>0</v>
      </c>
      <c r="AL411" s="6">
        <f t="shared" si="43"/>
        <v>0</v>
      </c>
    </row>
    <row r="412" spans="13:38" hidden="1" x14ac:dyDescent="0.25">
      <c r="M412" s="3">
        <v>400</v>
      </c>
      <c r="N412" s="3">
        <f t="shared" si="39"/>
        <v>0</v>
      </c>
      <c r="O412" s="6">
        <f t="shared" si="40"/>
        <v>0</v>
      </c>
      <c r="P412" s="6"/>
      <c r="S412" s="23"/>
      <c r="AG412" s="3">
        <v>400</v>
      </c>
      <c r="AI412" s="23">
        <f t="shared" si="41"/>
        <v>0</v>
      </c>
      <c r="AJ412" s="44">
        <f t="shared" si="42"/>
        <v>0</v>
      </c>
      <c r="AL412" s="6">
        <f t="shared" si="43"/>
        <v>0</v>
      </c>
    </row>
    <row r="413" spans="13:38" hidden="1" x14ac:dyDescent="0.25">
      <c r="M413" s="3">
        <v>401</v>
      </c>
      <c r="N413" s="3">
        <f t="shared" si="39"/>
        <v>0</v>
      </c>
      <c r="O413" s="6">
        <f t="shared" si="40"/>
        <v>0</v>
      </c>
      <c r="P413" s="6"/>
      <c r="S413" s="23"/>
      <c r="AG413" s="3">
        <v>401</v>
      </c>
      <c r="AI413" s="23">
        <f t="shared" si="41"/>
        <v>0</v>
      </c>
      <c r="AJ413" s="44">
        <f t="shared" si="42"/>
        <v>0</v>
      </c>
      <c r="AL413" s="6">
        <f t="shared" si="43"/>
        <v>0</v>
      </c>
    </row>
    <row r="414" spans="13:38" hidden="1" x14ac:dyDescent="0.25">
      <c r="M414" s="3">
        <v>402</v>
      </c>
      <c r="N414" s="3">
        <f t="shared" si="39"/>
        <v>0</v>
      </c>
      <c r="O414" s="6">
        <f t="shared" si="40"/>
        <v>0</v>
      </c>
      <c r="P414" s="6"/>
      <c r="S414" s="23"/>
      <c r="AG414" s="3">
        <v>402</v>
      </c>
      <c r="AI414" s="23">
        <f t="shared" si="41"/>
        <v>0</v>
      </c>
      <c r="AJ414" s="44">
        <f t="shared" si="42"/>
        <v>0</v>
      </c>
      <c r="AL414" s="6">
        <f t="shared" si="43"/>
        <v>0</v>
      </c>
    </row>
    <row r="415" spans="13:38" hidden="1" x14ac:dyDescent="0.25">
      <c r="M415" s="3">
        <v>403</v>
      </c>
      <c r="N415" s="3">
        <f t="shared" si="39"/>
        <v>0</v>
      </c>
      <c r="O415" s="6">
        <f t="shared" si="40"/>
        <v>0</v>
      </c>
      <c r="P415" s="6"/>
      <c r="S415" s="23"/>
      <c r="AG415" s="3">
        <v>403</v>
      </c>
      <c r="AI415" s="23">
        <f t="shared" si="41"/>
        <v>0</v>
      </c>
      <c r="AJ415" s="44">
        <f t="shared" si="42"/>
        <v>0</v>
      </c>
      <c r="AL415" s="6">
        <f t="shared" si="43"/>
        <v>0</v>
      </c>
    </row>
    <row r="416" spans="13:38" hidden="1" x14ac:dyDescent="0.25">
      <c r="M416" s="3">
        <v>404</v>
      </c>
      <c r="N416" s="3">
        <f t="shared" si="39"/>
        <v>0</v>
      </c>
      <c r="O416" s="6">
        <f t="shared" si="40"/>
        <v>0</v>
      </c>
      <c r="P416" s="6"/>
      <c r="S416" s="23"/>
      <c r="AG416" s="3">
        <v>404</v>
      </c>
      <c r="AI416" s="23">
        <f t="shared" si="41"/>
        <v>0</v>
      </c>
      <c r="AJ416" s="44">
        <f t="shared" si="42"/>
        <v>0</v>
      </c>
      <c r="AL416" s="6">
        <f t="shared" si="43"/>
        <v>0</v>
      </c>
    </row>
    <row r="417" spans="13:38" hidden="1" x14ac:dyDescent="0.25">
      <c r="M417" s="3">
        <v>405</v>
      </c>
      <c r="N417" s="3">
        <f t="shared" si="39"/>
        <v>0</v>
      </c>
      <c r="O417" s="6">
        <f t="shared" si="40"/>
        <v>0</v>
      </c>
      <c r="P417" s="6"/>
      <c r="S417" s="23"/>
      <c r="AG417" s="3">
        <v>405</v>
      </c>
      <c r="AI417" s="23">
        <f t="shared" si="41"/>
        <v>0</v>
      </c>
      <c r="AJ417" s="44">
        <f t="shared" si="42"/>
        <v>0</v>
      </c>
      <c r="AL417" s="6">
        <f t="shared" si="43"/>
        <v>0</v>
      </c>
    </row>
    <row r="418" spans="13:38" hidden="1" x14ac:dyDescent="0.25">
      <c r="M418" s="3">
        <v>406</v>
      </c>
      <c r="N418" s="3">
        <f t="shared" si="39"/>
        <v>0</v>
      </c>
      <c r="O418" s="6">
        <f t="shared" si="40"/>
        <v>0</v>
      </c>
      <c r="P418" s="6"/>
      <c r="S418" s="23"/>
      <c r="AG418" s="3">
        <v>406</v>
      </c>
      <c r="AI418" s="23">
        <f t="shared" si="41"/>
        <v>0</v>
      </c>
      <c r="AJ418" s="44">
        <f t="shared" si="42"/>
        <v>0</v>
      </c>
      <c r="AL418" s="6">
        <f t="shared" si="43"/>
        <v>0</v>
      </c>
    </row>
    <row r="419" spans="13:38" hidden="1" x14ac:dyDescent="0.25">
      <c r="M419" s="3">
        <v>407</v>
      </c>
      <c r="N419" s="3">
        <f t="shared" si="39"/>
        <v>0</v>
      </c>
      <c r="O419" s="6">
        <f t="shared" si="40"/>
        <v>0</v>
      </c>
      <c r="P419" s="6"/>
      <c r="S419" s="23"/>
      <c r="AG419" s="3">
        <v>407</v>
      </c>
      <c r="AI419" s="23">
        <f t="shared" si="41"/>
        <v>0</v>
      </c>
      <c r="AJ419" s="44">
        <f t="shared" si="42"/>
        <v>0</v>
      </c>
      <c r="AL419" s="6">
        <f t="shared" si="43"/>
        <v>0</v>
      </c>
    </row>
    <row r="420" spans="13:38" hidden="1" x14ac:dyDescent="0.25">
      <c r="M420" s="3">
        <v>408</v>
      </c>
      <c r="N420" s="3">
        <f t="shared" si="39"/>
        <v>0</v>
      </c>
      <c r="O420" s="6">
        <f t="shared" si="40"/>
        <v>0</v>
      </c>
      <c r="P420" s="6"/>
      <c r="S420" s="23"/>
      <c r="AG420" s="3">
        <v>408</v>
      </c>
      <c r="AI420" s="23">
        <f t="shared" si="41"/>
        <v>0</v>
      </c>
      <c r="AJ420" s="44">
        <f t="shared" si="42"/>
        <v>0</v>
      </c>
      <c r="AL420" s="6">
        <f t="shared" si="43"/>
        <v>0</v>
      </c>
    </row>
    <row r="421" spans="13:38" hidden="1" x14ac:dyDescent="0.25">
      <c r="M421" s="3">
        <v>409</v>
      </c>
      <c r="N421" s="3">
        <f t="shared" si="39"/>
        <v>0</v>
      </c>
      <c r="O421" s="6">
        <f t="shared" si="40"/>
        <v>0</v>
      </c>
      <c r="P421" s="6"/>
      <c r="S421" s="23"/>
      <c r="AG421" s="3">
        <v>409</v>
      </c>
      <c r="AI421" s="23">
        <f t="shared" si="41"/>
        <v>0</v>
      </c>
      <c r="AJ421" s="44">
        <f t="shared" si="42"/>
        <v>0</v>
      </c>
      <c r="AL421" s="6">
        <f t="shared" si="43"/>
        <v>0</v>
      </c>
    </row>
    <row r="422" spans="13:38" hidden="1" x14ac:dyDescent="0.25">
      <c r="M422" s="3">
        <v>410</v>
      </c>
      <c r="N422" s="3">
        <f t="shared" si="39"/>
        <v>0</v>
      </c>
      <c r="O422" s="6">
        <f t="shared" si="40"/>
        <v>0</v>
      </c>
      <c r="P422" s="6"/>
      <c r="S422" s="23"/>
      <c r="AG422" s="3">
        <v>410</v>
      </c>
      <c r="AI422" s="23">
        <f t="shared" si="41"/>
        <v>0</v>
      </c>
      <c r="AJ422" s="44">
        <f t="shared" si="42"/>
        <v>0</v>
      </c>
      <c r="AL422" s="6">
        <f t="shared" si="43"/>
        <v>0</v>
      </c>
    </row>
    <row r="423" spans="13:38" hidden="1" x14ac:dyDescent="0.25">
      <c r="M423" s="3">
        <v>411</v>
      </c>
      <c r="N423" s="3">
        <f t="shared" si="39"/>
        <v>0</v>
      </c>
      <c r="O423" s="6">
        <f t="shared" si="40"/>
        <v>0</v>
      </c>
      <c r="P423" s="6"/>
      <c r="S423" s="23"/>
      <c r="AG423" s="3">
        <v>411</v>
      </c>
      <c r="AI423" s="23">
        <f t="shared" si="41"/>
        <v>0</v>
      </c>
      <c r="AJ423" s="44">
        <f t="shared" si="42"/>
        <v>0</v>
      </c>
      <c r="AL423" s="6">
        <f t="shared" si="43"/>
        <v>0</v>
      </c>
    </row>
    <row r="424" spans="13:38" hidden="1" x14ac:dyDescent="0.25">
      <c r="M424" s="3">
        <v>412</v>
      </c>
      <c r="N424" s="3">
        <f t="shared" si="39"/>
        <v>0</v>
      </c>
      <c r="O424" s="6">
        <f t="shared" si="40"/>
        <v>0</v>
      </c>
      <c r="P424" s="6"/>
      <c r="S424" s="23"/>
      <c r="AG424" s="3">
        <v>412</v>
      </c>
      <c r="AI424" s="23">
        <f t="shared" si="41"/>
        <v>0</v>
      </c>
      <c r="AJ424" s="44">
        <f t="shared" si="42"/>
        <v>0</v>
      </c>
      <c r="AL424" s="6">
        <f t="shared" si="43"/>
        <v>0</v>
      </c>
    </row>
    <row r="425" spans="13:38" hidden="1" x14ac:dyDescent="0.25">
      <c r="M425" s="3">
        <v>413</v>
      </c>
      <c r="N425" s="3">
        <f t="shared" si="39"/>
        <v>0</v>
      </c>
      <c r="O425" s="6">
        <f t="shared" si="40"/>
        <v>0</v>
      </c>
      <c r="P425" s="6"/>
      <c r="S425" s="23"/>
      <c r="AG425" s="3">
        <v>413</v>
      </c>
      <c r="AI425" s="23">
        <f t="shared" si="41"/>
        <v>0</v>
      </c>
      <c r="AJ425" s="44">
        <f t="shared" si="42"/>
        <v>0</v>
      </c>
      <c r="AL425" s="6">
        <f t="shared" si="43"/>
        <v>0</v>
      </c>
    </row>
    <row r="426" spans="13:38" hidden="1" x14ac:dyDescent="0.25">
      <c r="M426" s="3">
        <v>414</v>
      </c>
      <c r="N426" s="3">
        <f t="shared" si="39"/>
        <v>0</v>
      </c>
      <c r="O426" s="6">
        <f t="shared" si="40"/>
        <v>0</v>
      </c>
      <c r="P426" s="6"/>
      <c r="S426" s="23"/>
      <c r="AG426" s="3">
        <v>414</v>
      </c>
      <c r="AI426" s="23">
        <f t="shared" si="41"/>
        <v>0</v>
      </c>
      <c r="AJ426" s="44">
        <f t="shared" si="42"/>
        <v>0</v>
      </c>
      <c r="AL426" s="6">
        <f t="shared" si="43"/>
        <v>0</v>
      </c>
    </row>
    <row r="427" spans="13:38" hidden="1" x14ac:dyDescent="0.25">
      <c r="M427" s="3">
        <v>415</v>
      </c>
      <c r="N427" s="3">
        <f t="shared" si="39"/>
        <v>0</v>
      </c>
      <c r="O427" s="6">
        <f t="shared" si="40"/>
        <v>0</v>
      </c>
      <c r="P427" s="6"/>
      <c r="S427" s="23"/>
      <c r="AG427" s="3">
        <v>415</v>
      </c>
      <c r="AI427" s="23">
        <f t="shared" si="41"/>
        <v>0</v>
      </c>
      <c r="AJ427" s="44">
        <f t="shared" si="42"/>
        <v>0</v>
      </c>
      <c r="AL427" s="6">
        <f t="shared" si="43"/>
        <v>0</v>
      </c>
    </row>
    <row r="428" spans="13:38" hidden="1" x14ac:dyDescent="0.25">
      <c r="M428" s="3">
        <v>416</v>
      </c>
      <c r="N428" s="3">
        <f t="shared" si="39"/>
        <v>0</v>
      </c>
      <c r="O428" s="6">
        <f t="shared" si="40"/>
        <v>0</v>
      </c>
      <c r="P428" s="6"/>
      <c r="S428" s="23"/>
      <c r="AG428" s="3">
        <v>416</v>
      </c>
      <c r="AI428" s="23">
        <f t="shared" si="41"/>
        <v>0</v>
      </c>
      <c r="AJ428" s="44">
        <f t="shared" si="42"/>
        <v>0</v>
      </c>
      <c r="AL428" s="6">
        <f t="shared" si="43"/>
        <v>0</v>
      </c>
    </row>
    <row r="429" spans="13:38" hidden="1" x14ac:dyDescent="0.25">
      <c r="M429" s="3">
        <v>417</v>
      </c>
      <c r="N429" s="3">
        <f t="shared" si="39"/>
        <v>0</v>
      </c>
      <c r="O429" s="6">
        <f t="shared" si="40"/>
        <v>0</v>
      </c>
      <c r="P429" s="6"/>
      <c r="S429" s="23"/>
      <c r="AG429" s="3">
        <v>417</v>
      </c>
      <c r="AI429" s="23">
        <f t="shared" si="41"/>
        <v>0</v>
      </c>
      <c r="AJ429" s="44">
        <f t="shared" si="42"/>
        <v>0</v>
      </c>
      <c r="AL429" s="6">
        <f t="shared" si="43"/>
        <v>0</v>
      </c>
    </row>
    <row r="430" spans="13:38" hidden="1" x14ac:dyDescent="0.25">
      <c r="M430" s="3">
        <v>418</v>
      </c>
      <c r="N430" s="3">
        <f t="shared" si="39"/>
        <v>0</v>
      </c>
      <c r="O430" s="6">
        <f t="shared" si="40"/>
        <v>0</v>
      </c>
      <c r="P430" s="6"/>
      <c r="S430" s="23"/>
      <c r="AG430" s="3">
        <v>418</v>
      </c>
      <c r="AI430" s="23">
        <f t="shared" si="41"/>
        <v>0</v>
      </c>
      <c r="AJ430" s="44">
        <f t="shared" si="42"/>
        <v>0</v>
      </c>
      <c r="AL430" s="6">
        <f t="shared" si="43"/>
        <v>0</v>
      </c>
    </row>
    <row r="431" spans="13:38" hidden="1" x14ac:dyDescent="0.25">
      <c r="M431" s="3">
        <v>419</v>
      </c>
      <c r="N431" s="3">
        <f t="shared" si="39"/>
        <v>0</v>
      </c>
      <c r="O431" s="6">
        <f t="shared" si="40"/>
        <v>0</v>
      </c>
      <c r="P431" s="6"/>
      <c r="S431" s="23"/>
      <c r="AG431" s="3">
        <v>419</v>
      </c>
      <c r="AI431" s="23">
        <f t="shared" si="41"/>
        <v>0</v>
      </c>
      <c r="AJ431" s="44">
        <f t="shared" si="42"/>
        <v>0</v>
      </c>
      <c r="AL431" s="6">
        <f t="shared" si="43"/>
        <v>0</v>
      </c>
    </row>
    <row r="432" spans="13:38" hidden="1" x14ac:dyDescent="0.25">
      <c r="M432" s="3">
        <v>420</v>
      </c>
      <c r="N432" s="3">
        <f t="shared" si="39"/>
        <v>0</v>
      </c>
      <c r="O432" s="6">
        <f t="shared" si="40"/>
        <v>0</v>
      </c>
      <c r="P432" s="6"/>
      <c r="S432" s="23"/>
      <c r="AG432" s="3">
        <v>420</v>
      </c>
      <c r="AI432" s="23">
        <f t="shared" si="41"/>
        <v>0</v>
      </c>
      <c r="AJ432" s="44">
        <f t="shared" si="42"/>
        <v>0</v>
      </c>
      <c r="AL432" s="6">
        <f t="shared" si="43"/>
        <v>0</v>
      </c>
    </row>
    <row r="433" spans="13:38" hidden="1" x14ac:dyDescent="0.25">
      <c r="M433" s="3">
        <v>421</v>
      </c>
      <c r="N433" s="3">
        <f t="shared" si="39"/>
        <v>0</v>
      </c>
      <c r="O433" s="6">
        <f t="shared" si="40"/>
        <v>0</v>
      </c>
      <c r="P433" s="6"/>
      <c r="S433" s="23"/>
      <c r="AG433" s="3">
        <v>421</v>
      </c>
      <c r="AI433" s="23">
        <f t="shared" si="41"/>
        <v>0</v>
      </c>
      <c r="AJ433" s="44">
        <f t="shared" si="42"/>
        <v>0</v>
      </c>
      <c r="AL433" s="6">
        <f t="shared" si="43"/>
        <v>0</v>
      </c>
    </row>
    <row r="434" spans="13:38" hidden="1" x14ac:dyDescent="0.25">
      <c r="M434" s="3">
        <v>422</v>
      </c>
      <c r="N434" s="3">
        <f t="shared" si="39"/>
        <v>0</v>
      </c>
      <c r="O434" s="6">
        <f t="shared" si="40"/>
        <v>0</v>
      </c>
      <c r="P434" s="6"/>
      <c r="S434" s="23"/>
      <c r="AG434" s="3">
        <v>422</v>
      </c>
      <c r="AI434" s="23">
        <f t="shared" si="41"/>
        <v>0</v>
      </c>
      <c r="AJ434" s="44">
        <f t="shared" si="42"/>
        <v>0</v>
      </c>
      <c r="AL434" s="6">
        <f t="shared" si="43"/>
        <v>0</v>
      </c>
    </row>
    <row r="435" spans="13:38" hidden="1" x14ac:dyDescent="0.25">
      <c r="M435" s="3">
        <v>423</v>
      </c>
      <c r="N435" s="3">
        <f t="shared" si="39"/>
        <v>0</v>
      </c>
      <c r="O435" s="6">
        <f t="shared" si="40"/>
        <v>0</v>
      </c>
      <c r="P435" s="6"/>
      <c r="S435" s="23"/>
      <c r="AG435" s="3">
        <v>423</v>
      </c>
      <c r="AI435" s="23">
        <f t="shared" si="41"/>
        <v>0</v>
      </c>
      <c r="AJ435" s="44">
        <f t="shared" si="42"/>
        <v>0</v>
      </c>
      <c r="AL435" s="6">
        <f t="shared" si="43"/>
        <v>0</v>
      </c>
    </row>
    <row r="436" spans="13:38" hidden="1" x14ac:dyDescent="0.25">
      <c r="M436" s="3">
        <v>424</v>
      </c>
      <c r="N436" s="3">
        <f t="shared" si="39"/>
        <v>0</v>
      </c>
      <c r="O436" s="6">
        <f t="shared" si="40"/>
        <v>0</v>
      </c>
      <c r="P436" s="6"/>
      <c r="S436" s="23"/>
      <c r="AG436" s="3">
        <v>424</v>
      </c>
      <c r="AI436" s="23">
        <f t="shared" si="41"/>
        <v>0</v>
      </c>
      <c r="AJ436" s="44">
        <f t="shared" si="42"/>
        <v>0</v>
      </c>
      <c r="AL436" s="6">
        <f t="shared" si="43"/>
        <v>0</v>
      </c>
    </row>
    <row r="437" spans="13:38" hidden="1" x14ac:dyDescent="0.25">
      <c r="M437" s="3">
        <v>425</v>
      </c>
      <c r="N437" s="3">
        <f t="shared" si="39"/>
        <v>0</v>
      </c>
      <c r="O437" s="6">
        <f t="shared" si="40"/>
        <v>0</v>
      </c>
      <c r="P437" s="6"/>
      <c r="S437" s="23"/>
      <c r="AG437" s="3">
        <v>425</v>
      </c>
      <c r="AI437" s="23">
        <f t="shared" si="41"/>
        <v>0</v>
      </c>
      <c r="AJ437" s="44">
        <f t="shared" si="42"/>
        <v>0</v>
      </c>
      <c r="AL437" s="6">
        <f t="shared" si="43"/>
        <v>0</v>
      </c>
    </row>
    <row r="438" spans="13:38" hidden="1" x14ac:dyDescent="0.25">
      <c r="M438" s="3">
        <v>426</v>
      </c>
      <c r="N438" s="3">
        <f t="shared" si="39"/>
        <v>0</v>
      </c>
      <c r="O438" s="6">
        <f t="shared" si="40"/>
        <v>0</v>
      </c>
      <c r="P438" s="6"/>
      <c r="S438" s="23"/>
      <c r="AG438" s="3">
        <v>426</v>
      </c>
      <c r="AI438" s="23">
        <f t="shared" si="41"/>
        <v>0</v>
      </c>
      <c r="AJ438" s="44">
        <f t="shared" si="42"/>
        <v>0</v>
      </c>
      <c r="AL438" s="6">
        <f t="shared" si="43"/>
        <v>0</v>
      </c>
    </row>
    <row r="439" spans="13:38" hidden="1" x14ac:dyDescent="0.25">
      <c r="M439" s="3">
        <v>427</v>
      </c>
      <c r="N439" s="3">
        <f t="shared" si="39"/>
        <v>0</v>
      </c>
      <c r="O439" s="6">
        <f t="shared" si="40"/>
        <v>0</v>
      </c>
      <c r="P439" s="6"/>
      <c r="S439" s="23"/>
      <c r="AG439" s="3">
        <v>427</v>
      </c>
      <c r="AI439" s="23">
        <f t="shared" si="41"/>
        <v>0</v>
      </c>
      <c r="AJ439" s="44">
        <f t="shared" si="42"/>
        <v>0</v>
      </c>
      <c r="AL439" s="6">
        <f t="shared" si="43"/>
        <v>0</v>
      </c>
    </row>
    <row r="440" spans="13:38" hidden="1" x14ac:dyDescent="0.25">
      <c r="M440" s="3">
        <v>428</v>
      </c>
      <c r="N440" s="3">
        <f t="shared" si="39"/>
        <v>0</v>
      </c>
      <c r="O440" s="6">
        <f t="shared" si="40"/>
        <v>0</v>
      </c>
      <c r="P440" s="6"/>
      <c r="S440" s="23"/>
      <c r="AG440" s="3">
        <v>428</v>
      </c>
      <c r="AI440" s="23">
        <f t="shared" si="41"/>
        <v>0</v>
      </c>
      <c r="AJ440" s="44">
        <f t="shared" si="42"/>
        <v>0</v>
      </c>
      <c r="AL440" s="6">
        <f t="shared" si="43"/>
        <v>0</v>
      </c>
    </row>
    <row r="441" spans="13:38" hidden="1" x14ac:dyDescent="0.25">
      <c r="M441" s="3">
        <v>429</v>
      </c>
      <c r="N441" s="3">
        <f t="shared" si="39"/>
        <v>0</v>
      </c>
      <c r="O441" s="6">
        <f t="shared" si="40"/>
        <v>0</v>
      </c>
      <c r="P441" s="6"/>
      <c r="S441" s="23"/>
      <c r="AG441" s="3">
        <v>429</v>
      </c>
      <c r="AI441" s="23">
        <f t="shared" si="41"/>
        <v>0</v>
      </c>
      <c r="AJ441" s="44">
        <f t="shared" si="42"/>
        <v>0</v>
      </c>
      <c r="AL441" s="6">
        <f t="shared" si="43"/>
        <v>0</v>
      </c>
    </row>
    <row r="442" spans="13:38" hidden="1" x14ac:dyDescent="0.25">
      <c r="M442" s="3">
        <v>430</v>
      </c>
      <c r="N442" s="3">
        <f t="shared" si="39"/>
        <v>0</v>
      </c>
      <c r="O442" s="6">
        <f t="shared" si="40"/>
        <v>0</v>
      </c>
      <c r="P442" s="6"/>
      <c r="S442" s="23"/>
      <c r="AG442" s="3">
        <v>430</v>
      </c>
      <c r="AI442" s="23">
        <f t="shared" si="41"/>
        <v>0</v>
      </c>
      <c r="AJ442" s="44">
        <f t="shared" si="42"/>
        <v>0</v>
      </c>
      <c r="AL442" s="6">
        <f t="shared" si="43"/>
        <v>0</v>
      </c>
    </row>
    <row r="443" spans="13:38" hidden="1" x14ac:dyDescent="0.25">
      <c r="M443" s="3">
        <v>431</v>
      </c>
      <c r="N443" s="3">
        <f t="shared" si="39"/>
        <v>0</v>
      </c>
      <c r="O443" s="6">
        <f t="shared" si="40"/>
        <v>0</v>
      </c>
      <c r="P443" s="6"/>
      <c r="S443" s="23"/>
      <c r="AG443" s="3">
        <v>431</v>
      </c>
      <c r="AI443" s="23">
        <f t="shared" si="41"/>
        <v>0</v>
      </c>
      <c r="AJ443" s="44">
        <f t="shared" si="42"/>
        <v>0</v>
      </c>
      <c r="AL443" s="6">
        <f t="shared" si="43"/>
        <v>0</v>
      </c>
    </row>
    <row r="444" spans="13:38" hidden="1" x14ac:dyDescent="0.25">
      <c r="M444" s="3">
        <v>432</v>
      </c>
      <c r="N444" s="3">
        <f t="shared" si="39"/>
        <v>0</v>
      </c>
      <c r="O444" s="6">
        <f t="shared" si="40"/>
        <v>0</v>
      </c>
      <c r="P444" s="6"/>
      <c r="S444" s="23"/>
      <c r="AG444" s="3">
        <v>432</v>
      </c>
      <c r="AI444" s="23">
        <f t="shared" si="41"/>
        <v>0</v>
      </c>
      <c r="AJ444" s="44">
        <f t="shared" si="42"/>
        <v>0</v>
      </c>
      <c r="AL444" s="6">
        <f t="shared" si="43"/>
        <v>0</v>
      </c>
    </row>
    <row r="445" spans="13:38" hidden="1" x14ac:dyDescent="0.25">
      <c r="M445" s="3">
        <v>433</v>
      </c>
      <c r="N445" s="3">
        <f t="shared" si="39"/>
        <v>0</v>
      </c>
      <c r="O445" s="6">
        <f t="shared" si="40"/>
        <v>0</v>
      </c>
      <c r="P445" s="6"/>
      <c r="S445" s="23"/>
      <c r="AG445" s="3">
        <v>433</v>
      </c>
      <c r="AI445" s="23">
        <f t="shared" si="41"/>
        <v>0</v>
      </c>
      <c r="AJ445" s="44">
        <f t="shared" si="42"/>
        <v>0</v>
      </c>
      <c r="AL445" s="6">
        <f t="shared" si="43"/>
        <v>0</v>
      </c>
    </row>
    <row r="446" spans="13:38" hidden="1" x14ac:dyDescent="0.25">
      <c r="M446" s="3">
        <v>434</v>
      </c>
      <c r="N446" s="3">
        <f t="shared" si="39"/>
        <v>0</v>
      </c>
      <c r="O446" s="6">
        <f t="shared" si="40"/>
        <v>0</v>
      </c>
      <c r="P446" s="6"/>
      <c r="S446" s="23"/>
      <c r="AG446" s="3">
        <v>434</v>
      </c>
      <c r="AI446" s="23">
        <f t="shared" si="41"/>
        <v>0</v>
      </c>
      <c r="AJ446" s="44">
        <f t="shared" si="42"/>
        <v>0</v>
      </c>
      <c r="AL446" s="6">
        <f t="shared" si="43"/>
        <v>0</v>
      </c>
    </row>
    <row r="447" spans="13:38" hidden="1" x14ac:dyDescent="0.25">
      <c r="M447" s="3">
        <v>435</v>
      </c>
      <c r="N447" s="3">
        <f t="shared" si="39"/>
        <v>0</v>
      </c>
      <c r="O447" s="6">
        <f t="shared" si="40"/>
        <v>0</v>
      </c>
      <c r="P447" s="6"/>
      <c r="S447" s="23"/>
      <c r="AG447" s="3">
        <v>435</v>
      </c>
      <c r="AI447" s="23">
        <f t="shared" si="41"/>
        <v>0</v>
      </c>
      <c r="AJ447" s="44">
        <f t="shared" si="42"/>
        <v>0</v>
      </c>
      <c r="AL447" s="6">
        <f t="shared" si="43"/>
        <v>0</v>
      </c>
    </row>
    <row r="448" spans="13:38" hidden="1" x14ac:dyDescent="0.25">
      <c r="M448" s="3">
        <v>436</v>
      </c>
      <c r="N448" s="3">
        <f t="shared" si="39"/>
        <v>0</v>
      </c>
      <c r="O448" s="6">
        <f t="shared" si="40"/>
        <v>0</v>
      </c>
      <c r="P448" s="6"/>
      <c r="S448" s="23"/>
      <c r="AG448" s="3">
        <v>436</v>
      </c>
      <c r="AI448" s="23">
        <f t="shared" si="41"/>
        <v>0</v>
      </c>
      <c r="AJ448" s="44">
        <f t="shared" si="42"/>
        <v>0</v>
      </c>
      <c r="AL448" s="6">
        <f t="shared" si="43"/>
        <v>0</v>
      </c>
    </row>
    <row r="449" spans="13:38" hidden="1" x14ac:dyDescent="0.25">
      <c r="M449" s="3">
        <v>437</v>
      </c>
      <c r="N449" s="3">
        <f t="shared" si="39"/>
        <v>0</v>
      </c>
      <c r="O449" s="6">
        <f t="shared" si="40"/>
        <v>0</v>
      </c>
      <c r="P449" s="6"/>
      <c r="S449" s="23"/>
      <c r="AG449" s="3">
        <v>437</v>
      </c>
      <c r="AI449" s="23">
        <f t="shared" si="41"/>
        <v>0</v>
      </c>
      <c r="AJ449" s="44">
        <f t="shared" si="42"/>
        <v>0</v>
      </c>
      <c r="AL449" s="6">
        <f t="shared" si="43"/>
        <v>0</v>
      </c>
    </row>
    <row r="450" spans="13:38" hidden="1" x14ac:dyDescent="0.25">
      <c r="M450" s="3">
        <v>438</v>
      </c>
      <c r="N450" s="3">
        <f t="shared" si="39"/>
        <v>0</v>
      </c>
      <c r="O450" s="6">
        <f t="shared" si="40"/>
        <v>0</v>
      </c>
      <c r="P450" s="6"/>
      <c r="S450" s="23"/>
      <c r="AG450" s="3">
        <v>438</v>
      </c>
      <c r="AI450" s="23">
        <f t="shared" si="41"/>
        <v>0</v>
      </c>
      <c r="AJ450" s="44">
        <f t="shared" si="42"/>
        <v>0</v>
      </c>
      <c r="AL450" s="6">
        <f t="shared" si="43"/>
        <v>0</v>
      </c>
    </row>
    <row r="451" spans="13:38" hidden="1" x14ac:dyDescent="0.25">
      <c r="M451" s="3">
        <v>439</v>
      </c>
      <c r="N451" s="3">
        <f t="shared" si="39"/>
        <v>0</v>
      </c>
      <c r="O451" s="6">
        <f t="shared" si="40"/>
        <v>0</v>
      </c>
      <c r="P451" s="6"/>
      <c r="S451" s="23"/>
      <c r="AG451" s="3">
        <v>439</v>
      </c>
      <c r="AI451" s="23">
        <f t="shared" si="41"/>
        <v>0</v>
      </c>
      <c r="AJ451" s="44">
        <f t="shared" si="42"/>
        <v>0</v>
      </c>
      <c r="AL451" s="6">
        <f t="shared" si="43"/>
        <v>0</v>
      </c>
    </row>
    <row r="452" spans="13:38" hidden="1" x14ac:dyDescent="0.25">
      <c r="M452" s="3">
        <v>440</v>
      </c>
      <c r="N452" s="3">
        <f t="shared" si="39"/>
        <v>0</v>
      </c>
      <c r="O452" s="6">
        <f t="shared" si="40"/>
        <v>0</v>
      </c>
      <c r="P452" s="6"/>
      <c r="S452" s="23"/>
      <c r="AG452" s="3">
        <v>440</v>
      </c>
      <c r="AI452" s="23">
        <f t="shared" si="41"/>
        <v>0</v>
      </c>
      <c r="AJ452" s="44">
        <f t="shared" si="42"/>
        <v>0</v>
      </c>
      <c r="AL452" s="6">
        <f t="shared" si="43"/>
        <v>0</v>
      </c>
    </row>
    <row r="453" spans="13:38" hidden="1" x14ac:dyDescent="0.25">
      <c r="M453" s="3">
        <v>441</v>
      </c>
      <c r="N453" s="3">
        <f t="shared" si="39"/>
        <v>0</v>
      </c>
      <c r="O453" s="6">
        <f t="shared" si="40"/>
        <v>0</v>
      </c>
      <c r="P453" s="6"/>
      <c r="S453" s="23"/>
      <c r="AG453" s="3">
        <v>441</v>
      </c>
      <c r="AI453" s="23">
        <f t="shared" si="41"/>
        <v>0</v>
      </c>
      <c r="AJ453" s="44">
        <f t="shared" si="42"/>
        <v>0</v>
      </c>
      <c r="AL453" s="6">
        <f t="shared" si="43"/>
        <v>0</v>
      </c>
    </row>
    <row r="454" spans="13:38" hidden="1" x14ac:dyDescent="0.25">
      <c r="M454" s="3">
        <v>442</v>
      </c>
      <c r="N454" s="3">
        <f t="shared" si="39"/>
        <v>0</v>
      </c>
      <c r="O454" s="6">
        <f t="shared" si="40"/>
        <v>0</v>
      </c>
      <c r="P454" s="6"/>
      <c r="S454" s="23"/>
      <c r="AG454" s="3">
        <v>442</v>
      </c>
      <c r="AI454" s="23">
        <f t="shared" si="41"/>
        <v>0</v>
      </c>
      <c r="AJ454" s="44">
        <f t="shared" si="42"/>
        <v>0</v>
      </c>
      <c r="AL454" s="6">
        <f t="shared" si="43"/>
        <v>0</v>
      </c>
    </row>
    <row r="455" spans="13:38" hidden="1" x14ac:dyDescent="0.25">
      <c r="M455" s="3">
        <v>443</v>
      </c>
      <c r="N455" s="3">
        <f t="shared" si="39"/>
        <v>0</v>
      </c>
      <c r="O455" s="6">
        <f t="shared" si="40"/>
        <v>0</v>
      </c>
      <c r="P455" s="6"/>
      <c r="S455" s="23"/>
      <c r="AG455" s="3">
        <v>443</v>
      </c>
      <c r="AI455" s="23">
        <f t="shared" si="41"/>
        <v>0</v>
      </c>
      <c r="AJ455" s="44">
        <f t="shared" si="42"/>
        <v>0</v>
      </c>
      <c r="AL455" s="6">
        <f t="shared" si="43"/>
        <v>0</v>
      </c>
    </row>
    <row r="456" spans="13:38" hidden="1" x14ac:dyDescent="0.25">
      <c r="M456" s="3">
        <v>444</v>
      </c>
      <c r="N456" s="3">
        <f t="shared" si="39"/>
        <v>0</v>
      </c>
      <c r="O456" s="6">
        <f t="shared" si="40"/>
        <v>0</v>
      </c>
      <c r="P456" s="6"/>
      <c r="S456" s="23"/>
      <c r="AG456" s="3">
        <v>444</v>
      </c>
      <c r="AI456" s="23">
        <f t="shared" si="41"/>
        <v>0</v>
      </c>
      <c r="AJ456" s="44">
        <f t="shared" si="42"/>
        <v>0</v>
      </c>
      <c r="AL456" s="6">
        <f t="shared" si="43"/>
        <v>0</v>
      </c>
    </row>
    <row r="457" spans="13:38" hidden="1" x14ac:dyDescent="0.25">
      <c r="M457" s="3">
        <v>445</v>
      </c>
      <c r="N457" s="3">
        <f t="shared" si="39"/>
        <v>0</v>
      </c>
      <c r="O457" s="6">
        <f t="shared" si="40"/>
        <v>0</v>
      </c>
      <c r="P457" s="6"/>
      <c r="S457" s="23"/>
      <c r="AG457" s="3">
        <v>445</v>
      </c>
      <c r="AI457" s="23">
        <f t="shared" si="41"/>
        <v>0</v>
      </c>
      <c r="AJ457" s="44">
        <f t="shared" si="42"/>
        <v>0</v>
      </c>
      <c r="AL457" s="6">
        <f t="shared" si="43"/>
        <v>0</v>
      </c>
    </row>
    <row r="458" spans="13:38" hidden="1" x14ac:dyDescent="0.25">
      <c r="M458" s="3">
        <v>446</v>
      </c>
      <c r="N458" s="3">
        <f t="shared" si="39"/>
        <v>0</v>
      </c>
      <c r="O458" s="6">
        <f t="shared" si="40"/>
        <v>0</v>
      </c>
      <c r="P458" s="6"/>
      <c r="S458" s="23"/>
      <c r="AG458" s="3">
        <v>446</v>
      </c>
      <c r="AI458" s="23">
        <f t="shared" si="41"/>
        <v>0</v>
      </c>
      <c r="AJ458" s="44">
        <f t="shared" si="42"/>
        <v>0</v>
      </c>
      <c r="AL458" s="6">
        <f t="shared" si="43"/>
        <v>0</v>
      </c>
    </row>
    <row r="459" spans="13:38" hidden="1" x14ac:dyDescent="0.25">
      <c r="M459" s="3">
        <v>447</v>
      </c>
      <c r="N459" s="3">
        <f t="shared" si="39"/>
        <v>0</v>
      </c>
      <c r="O459" s="6">
        <f t="shared" si="40"/>
        <v>0</v>
      </c>
      <c r="P459" s="6"/>
      <c r="S459" s="23"/>
      <c r="AG459" s="3">
        <v>447</v>
      </c>
      <c r="AI459" s="23">
        <f t="shared" si="41"/>
        <v>0</v>
      </c>
      <c r="AJ459" s="44">
        <f t="shared" si="42"/>
        <v>0</v>
      </c>
      <c r="AL459" s="6">
        <f t="shared" si="43"/>
        <v>0</v>
      </c>
    </row>
    <row r="460" spans="13:38" hidden="1" x14ac:dyDescent="0.25">
      <c r="M460" s="3">
        <v>448</v>
      </c>
      <c r="N460" s="3">
        <f t="shared" si="39"/>
        <v>0</v>
      </c>
      <c r="O460" s="6">
        <f t="shared" si="40"/>
        <v>0</v>
      </c>
      <c r="P460" s="6"/>
      <c r="S460" s="23"/>
      <c r="AG460" s="3">
        <v>448</v>
      </c>
      <c r="AI460" s="23">
        <f t="shared" si="41"/>
        <v>0</v>
      </c>
      <c r="AJ460" s="44">
        <f t="shared" si="42"/>
        <v>0</v>
      </c>
      <c r="AL460" s="6">
        <f t="shared" si="43"/>
        <v>0</v>
      </c>
    </row>
    <row r="461" spans="13:38" hidden="1" x14ac:dyDescent="0.25">
      <c r="M461" s="3">
        <v>449</v>
      </c>
      <c r="N461" s="3">
        <f t="shared" ref="N461:N524" si="44">IF(M461&lt;=IF($T$6=1,$O$8,ROUNDUP($J$8,0)),SIPAmount,0)</f>
        <v>0</v>
      </c>
      <c r="O461" s="6">
        <f t="shared" ref="O461:O524" si="45">FV(SIPRate,M461,-N461,0,1)</f>
        <v>0</v>
      </c>
      <c r="P461" s="6"/>
      <c r="S461" s="23"/>
      <c r="AG461" s="3">
        <v>449</v>
      </c>
      <c r="AI461" s="23">
        <f t="shared" si="41"/>
        <v>0</v>
      </c>
      <c r="AJ461" s="44">
        <f t="shared" si="42"/>
        <v>0</v>
      </c>
      <c r="AL461" s="6">
        <f t="shared" si="43"/>
        <v>0</v>
      </c>
    </row>
    <row r="462" spans="13:38" hidden="1" x14ac:dyDescent="0.25">
      <c r="M462" s="3">
        <v>450</v>
      </c>
      <c r="N462" s="3">
        <f t="shared" si="44"/>
        <v>0</v>
      </c>
      <c r="O462" s="6">
        <f t="shared" si="45"/>
        <v>0</v>
      </c>
      <c r="P462" s="6"/>
      <c r="S462" s="23"/>
      <c r="AG462" s="3">
        <v>450</v>
      </c>
      <c r="AI462" s="23">
        <f t="shared" ref="AI462:AI525" si="46">IF(AG462&lt;=$O$8,FV($O$3,AG462,-$O$5,0,1),0)</f>
        <v>0</v>
      </c>
      <c r="AJ462" s="44">
        <f t="shared" ref="AJ462:AJ525" si="47">IF(OR(AJ461=0,AJ461&gt;=$C$15),0,FV($O$3,AG462,-$C$17,0,1))</f>
        <v>0</v>
      </c>
      <c r="AL462" s="6">
        <f t="shared" ref="AL462:AL525" si="48">O462</f>
        <v>0</v>
      </c>
    </row>
    <row r="463" spans="13:38" hidden="1" x14ac:dyDescent="0.25">
      <c r="M463" s="3">
        <v>451</v>
      </c>
      <c r="N463" s="3">
        <f t="shared" si="44"/>
        <v>0</v>
      </c>
      <c r="O463" s="6">
        <f t="shared" si="45"/>
        <v>0</v>
      </c>
      <c r="P463" s="6"/>
      <c r="S463" s="23"/>
      <c r="AG463" s="3">
        <v>451</v>
      </c>
      <c r="AI463" s="23">
        <f t="shared" si="46"/>
        <v>0</v>
      </c>
      <c r="AJ463" s="44">
        <f t="shared" si="47"/>
        <v>0</v>
      </c>
      <c r="AL463" s="6">
        <f t="shared" si="48"/>
        <v>0</v>
      </c>
    </row>
    <row r="464" spans="13:38" hidden="1" x14ac:dyDescent="0.25">
      <c r="M464" s="3">
        <v>452</v>
      </c>
      <c r="N464" s="3">
        <f t="shared" si="44"/>
        <v>0</v>
      </c>
      <c r="O464" s="6">
        <f t="shared" si="45"/>
        <v>0</v>
      </c>
      <c r="P464" s="6"/>
      <c r="S464" s="23"/>
      <c r="AG464" s="3">
        <v>452</v>
      </c>
      <c r="AI464" s="23">
        <f t="shared" si="46"/>
        <v>0</v>
      </c>
      <c r="AJ464" s="44">
        <f t="shared" si="47"/>
        <v>0</v>
      </c>
      <c r="AL464" s="6">
        <f t="shared" si="48"/>
        <v>0</v>
      </c>
    </row>
    <row r="465" spans="13:38" hidden="1" x14ac:dyDescent="0.25">
      <c r="M465" s="3">
        <v>453</v>
      </c>
      <c r="N465" s="3">
        <f t="shared" si="44"/>
        <v>0</v>
      </c>
      <c r="O465" s="6">
        <f t="shared" si="45"/>
        <v>0</v>
      </c>
      <c r="P465" s="6"/>
      <c r="S465" s="23"/>
      <c r="AG465" s="3">
        <v>453</v>
      </c>
      <c r="AI465" s="23">
        <f t="shared" si="46"/>
        <v>0</v>
      </c>
      <c r="AJ465" s="44">
        <f t="shared" si="47"/>
        <v>0</v>
      </c>
      <c r="AL465" s="6">
        <f t="shared" si="48"/>
        <v>0</v>
      </c>
    </row>
    <row r="466" spans="13:38" hidden="1" x14ac:dyDescent="0.25">
      <c r="M466" s="3">
        <v>454</v>
      </c>
      <c r="N466" s="3">
        <f t="shared" si="44"/>
        <v>0</v>
      </c>
      <c r="O466" s="6">
        <f t="shared" si="45"/>
        <v>0</v>
      </c>
      <c r="P466" s="6"/>
      <c r="S466" s="23"/>
      <c r="AG466" s="3">
        <v>454</v>
      </c>
      <c r="AI466" s="23">
        <f t="shared" si="46"/>
        <v>0</v>
      </c>
      <c r="AJ466" s="44">
        <f t="shared" si="47"/>
        <v>0</v>
      </c>
      <c r="AL466" s="6">
        <f t="shared" si="48"/>
        <v>0</v>
      </c>
    </row>
    <row r="467" spans="13:38" hidden="1" x14ac:dyDescent="0.25">
      <c r="M467" s="3">
        <v>455</v>
      </c>
      <c r="N467" s="3">
        <f t="shared" si="44"/>
        <v>0</v>
      </c>
      <c r="O467" s="6">
        <f t="shared" si="45"/>
        <v>0</v>
      </c>
      <c r="P467" s="6"/>
      <c r="S467" s="23"/>
      <c r="AG467" s="3">
        <v>455</v>
      </c>
      <c r="AI467" s="23">
        <f t="shared" si="46"/>
        <v>0</v>
      </c>
      <c r="AJ467" s="44">
        <f t="shared" si="47"/>
        <v>0</v>
      </c>
      <c r="AL467" s="6">
        <f t="shared" si="48"/>
        <v>0</v>
      </c>
    </row>
    <row r="468" spans="13:38" hidden="1" x14ac:dyDescent="0.25">
      <c r="M468" s="3">
        <v>456</v>
      </c>
      <c r="N468" s="3">
        <f t="shared" si="44"/>
        <v>0</v>
      </c>
      <c r="O468" s="6">
        <f t="shared" si="45"/>
        <v>0</v>
      </c>
      <c r="P468" s="6"/>
      <c r="S468" s="23"/>
      <c r="AG468" s="3">
        <v>456</v>
      </c>
      <c r="AI468" s="23">
        <f t="shared" si="46"/>
        <v>0</v>
      </c>
      <c r="AJ468" s="44">
        <f t="shared" si="47"/>
        <v>0</v>
      </c>
      <c r="AL468" s="6">
        <f t="shared" si="48"/>
        <v>0</v>
      </c>
    </row>
    <row r="469" spans="13:38" hidden="1" x14ac:dyDescent="0.25">
      <c r="M469" s="3">
        <v>457</v>
      </c>
      <c r="N469" s="3">
        <f t="shared" si="44"/>
        <v>0</v>
      </c>
      <c r="O469" s="6">
        <f t="shared" si="45"/>
        <v>0</v>
      </c>
      <c r="P469" s="6"/>
      <c r="S469" s="23"/>
      <c r="AG469" s="3">
        <v>457</v>
      </c>
      <c r="AI469" s="23">
        <f t="shared" si="46"/>
        <v>0</v>
      </c>
      <c r="AJ469" s="44">
        <f t="shared" si="47"/>
        <v>0</v>
      </c>
      <c r="AL469" s="6">
        <f t="shared" si="48"/>
        <v>0</v>
      </c>
    </row>
    <row r="470" spans="13:38" hidden="1" x14ac:dyDescent="0.25">
      <c r="M470" s="3">
        <v>458</v>
      </c>
      <c r="N470" s="3">
        <f t="shared" si="44"/>
        <v>0</v>
      </c>
      <c r="O470" s="6">
        <f t="shared" si="45"/>
        <v>0</v>
      </c>
      <c r="P470" s="6"/>
      <c r="S470" s="23"/>
      <c r="AG470" s="3">
        <v>458</v>
      </c>
      <c r="AI470" s="23">
        <f t="shared" si="46"/>
        <v>0</v>
      </c>
      <c r="AJ470" s="44">
        <f t="shared" si="47"/>
        <v>0</v>
      </c>
      <c r="AL470" s="6">
        <f t="shared" si="48"/>
        <v>0</v>
      </c>
    </row>
    <row r="471" spans="13:38" hidden="1" x14ac:dyDescent="0.25">
      <c r="M471" s="3">
        <v>459</v>
      </c>
      <c r="N471" s="3">
        <f t="shared" si="44"/>
        <v>0</v>
      </c>
      <c r="O471" s="6">
        <f t="shared" si="45"/>
        <v>0</v>
      </c>
      <c r="P471" s="6"/>
      <c r="S471" s="23"/>
      <c r="AG471" s="3">
        <v>459</v>
      </c>
      <c r="AI471" s="23">
        <f t="shared" si="46"/>
        <v>0</v>
      </c>
      <c r="AJ471" s="44">
        <f t="shared" si="47"/>
        <v>0</v>
      </c>
      <c r="AL471" s="6">
        <f t="shared" si="48"/>
        <v>0</v>
      </c>
    </row>
    <row r="472" spans="13:38" hidden="1" x14ac:dyDescent="0.25">
      <c r="M472" s="3">
        <v>460</v>
      </c>
      <c r="N472" s="3">
        <f t="shared" si="44"/>
        <v>0</v>
      </c>
      <c r="O472" s="6">
        <f t="shared" si="45"/>
        <v>0</v>
      </c>
      <c r="P472" s="6"/>
      <c r="S472" s="23"/>
      <c r="AG472" s="3">
        <v>460</v>
      </c>
      <c r="AI472" s="23">
        <f t="shared" si="46"/>
        <v>0</v>
      </c>
      <c r="AJ472" s="44">
        <f t="shared" si="47"/>
        <v>0</v>
      </c>
      <c r="AL472" s="6">
        <f t="shared" si="48"/>
        <v>0</v>
      </c>
    </row>
    <row r="473" spans="13:38" hidden="1" x14ac:dyDescent="0.25">
      <c r="M473" s="3">
        <v>461</v>
      </c>
      <c r="N473" s="3">
        <f t="shared" si="44"/>
        <v>0</v>
      </c>
      <c r="O473" s="6">
        <f t="shared" si="45"/>
        <v>0</v>
      </c>
      <c r="P473" s="6"/>
      <c r="S473" s="23"/>
      <c r="AG473" s="3">
        <v>461</v>
      </c>
      <c r="AI473" s="23">
        <f t="shared" si="46"/>
        <v>0</v>
      </c>
      <c r="AJ473" s="44">
        <f t="shared" si="47"/>
        <v>0</v>
      </c>
      <c r="AL473" s="6">
        <f t="shared" si="48"/>
        <v>0</v>
      </c>
    </row>
    <row r="474" spans="13:38" hidden="1" x14ac:dyDescent="0.25">
      <c r="M474" s="3">
        <v>462</v>
      </c>
      <c r="N474" s="3">
        <f t="shared" si="44"/>
        <v>0</v>
      </c>
      <c r="O474" s="6">
        <f t="shared" si="45"/>
        <v>0</v>
      </c>
      <c r="P474" s="6"/>
      <c r="S474" s="23"/>
      <c r="AG474" s="3">
        <v>462</v>
      </c>
      <c r="AI474" s="23">
        <f t="shared" si="46"/>
        <v>0</v>
      </c>
      <c r="AJ474" s="44">
        <f t="shared" si="47"/>
        <v>0</v>
      </c>
      <c r="AL474" s="6">
        <f t="shared" si="48"/>
        <v>0</v>
      </c>
    </row>
    <row r="475" spans="13:38" hidden="1" x14ac:dyDescent="0.25">
      <c r="M475" s="3">
        <v>463</v>
      </c>
      <c r="N475" s="3">
        <f t="shared" si="44"/>
        <v>0</v>
      </c>
      <c r="O475" s="6">
        <f t="shared" si="45"/>
        <v>0</v>
      </c>
      <c r="P475" s="6"/>
      <c r="S475" s="23"/>
      <c r="AG475" s="3">
        <v>463</v>
      </c>
      <c r="AI475" s="23">
        <f t="shared" si="46"/>
        <v>0</v>
      </c>
      <c r="AJ475" s="44">
        <f t="shared" si="47"/>
        <v>0</v>
      </c>
      <c r="AL475" s="6">
        <f t="shared" si="48"/>
        <v>0</v>
      </c>
    </row>
    <row r="476" spans="13:38" hidden="1" x14ac:dyDescent="0.25">
      <c r="M476" s="3">
        <v>464</v>
      </c>
      <c r="N476" s="3">
        <f t="shared" si="44"/>
        <v>0</v>
      </c>
      <c r="O476" s="6">
        <f t="shared" si="45"/>
        <v>0</v>
      </c>
      <c r="P476" s="6"/>
      <c r="S476" s="23"/>
      <c r="AG476" s="3">
        <v>464</v>
      </c>
      <c r="AI476" s="23">
        <f t="shared" si="46"/>
        <v>0</v>
      </c>
      <c r="AJ476" s="44">
        <f t="shared" si="47"/>
        <v>0</v>
      </c>
      <c r="AL476" s="6">
        <f t="shared" si="48"/>
        <v>0</v>
      </c>
    </row>
    <row r="477" spans="13:38" hidden="1" x14ac:dyDescent="0.25">
      <c r="M477" s="3">
        <v>465</v>
      </c>
      <c r="N477" s="3">
        <f t="shared" si="44"/>
        <v>0</v>
      </c>
      <c r="O477" s="6">
        <f t="shared" si="45"/>
        <v>0</v>
      </c>
      <c r="P477" s="6"/>
      <c r="S477" s="23"/>
      <c r="AG477" s="3">
        <v>465</v>
      </c>
      <c r="AI477" s="23">
        <f t="shared" si="46"/>
        <v>0</v>
      </c>
      <c r="AJ477" s="44">
        <f t="shared" si="47"/>
        <v>0</v>
      </c>
      <c r="AL477" s="6">
        <f t="shared" si="48"/>
        <v>0</v>
      </c>
    </row>
    <row r="478" spans="13:38" hidden="1" x14ac:dyDescent="0.25">
      <c r="M478" s="3">
        <v>466</v>
      </c>
      <c r="N478" s="3">
        <f t="shared" si="44"/>
        <v>0</v>
      </c>
      <c r="O478" s="6">
        <f t="shared" si="45"/>
        <v>0</v>
      </c>
      <c r="P478" s="6"/>
      <c r="S478" s="23"/>
      <c r="AG478" s="3">
        <v>466</v>
      </c>
      <c r="AI478" s="23">
        <f t="shared" si="46"/>
        <v>0</v>
      </c>
      <c r="AJ478" s="44">
        <f t="shared" si="47"/>
        <v>0</v>
      </c>
      <c r="AL478" s="6">
        <f t="shared" si="48"/>
        <v>0</v>
      </c>
    </row>
    <row r="479" spans="13:38" hidden="1" x14ac:dyDescent="0.25">
      <c r="M479" s="3">
        <v>467</v>
      </c>
      <c r="N479" s="3">
        <f t="shared" si="44"/>
        <v>0</v>
      </c>
      <c r="O479" s="6">
        <f t="shared" si="45"/>
        <v>0</v>
      </c>
      <c r="P479" s="6"/>
      <c r="S479" s="23"/>
      <c r="AG479" s="3">
        <v>467</v>
      </c>
      <c r="AI479" s="23">
        <f t="shared" si="46"/>
        <v>0</v>
      </c>
      <c r="AJ479" s="44">
        <f t="shared" si="47"/>
        <v>0</v>
      </c>
      <c r="AL479" s="6">
        <f t="shared" si="48"/>
        <v>0</v>
      </c>
    </row>
    <row r="480" spans="13:38" hidden="1" x14ac:dyDescent="0.25">
      <c r="M480" s="3">
        <v>468</v>
      </c>
      <c r="N480" s="3">
        <f t="shared" si="44"/>
        <v>0</v>
      </c>
      <c r="O480" s="6">
        <f t="shared" si="45"/>
        <v>0</v>
      </c>
      <c r="P480" s="6"/>
      <c r="S480" s="23"/>
      <c r="AG480" s="3">
        <v>468</v>
      </c>
      <c r="AI480" s="23">
        <f t="shared" si="46"/>
        <v>0</v>
      </c>
      <c r="AJ480" s="44">
        <f t="shared" si="47"/>
        <v>0</v>
      </c>
      <c r="AL480" s="6">
        <f t="shared" si="48"/>
        <v>0</v>
      </c>
    </row>
    <row r="481" spans="13:38" hidden="1" x14ac:dyDescent="0.25">
      <c r="M481" s="3">
        <v>469</v>
      </c>
      <c r="N481" s="3">
        <f t="shared" si="44"/>
        <v>0</v>
      </c>
      <c r="O481" s="6">
        <f t="shared" si="45"/>
        <v>0</v>
      </c>
      <c r="P481" s="6"/>
      <c r="S481" s="23"/>
      <c r="AG481" s="3">
        <v>469</v>
      </c>
      <c r="AI481" s="23">
        <f t="shared" si="46"/>
        <v>0</v>
      </c>
      <c r="AJ481" s="44">
        <f t="shared" si="47"/>
        <v>0</v>
      </c>
      <c r="AL481" s="6">
        <f t="shared" si="48"/>
        <v>0</v>
      </c>
    </row>
    <row r="482" spans="13:38" hidden="1" x14ac:dyDescent="0.25">
      <c r="M482" s="3">
        <v>470</v>
      </c>
      <c r="N482" s="3">
        <f t="shared" si="44"/>
        <v>0</v>
      </c>
      <c r="O482" s="6">
        <f t="shared" si="45"/>
        <v>0</v>
      </c>
      <c r="P482" s="6"/>
      <c r="S482" s="23"/>
      <c r="AG482" s="3">
        <v>470</v>
      </c>
      <c r="AI482" s="23">
        <f t="shared" si="46"/>
        <v>0</v>
      </c>
      <c r="AJ482" s="44">
        <f t="shared" si="47"/>
        <v>0</v>
      </c>
      <c r="AL482" s="6">
        <f t="shared" si="48"/>
        <v>0</v>
      </c>
    </row>
    <row r="483" spans="13:38" hidden="1" x14ac:dyDescent="0.25">
      <c r="M483" s="3">
        <v>471</v>
      </c>
      <c r="N483" s="3">
        <f t="shared" si="44"/>
        <v>0</v>
      </c>
      <c r="O483" s="6">
        <f t="shared" si="45"/>
        <v>0</v>
      </c>
      <c r="P483" s="6"/>
      <c r="S483" s="23"/>
      <c r="AG483" s="3">
        <v>471</v>
      </c>
      <c r="AI483" s="23">
        <f t="shared" si="46"/>
        <v>0</v>
      </c>
      <c r="AJ483" s="44">
        <f t="shared" si="47"/>
        <v>0</v>
      </c>
      <c r="AL483" s="6">
        <f t="shared" si="48"/>
        <v>0</v>
      </c>
    </row>
    <row r="484" spans="13:38" hidden="1" x14ac:dyDescent="0.25">
      <c r="M484" s="3">
        <v>472</v>
      </c>
      <c r="N484" s="3">
        <f t="shared" si="44"/>
        <v>0</v>
      </c>
      <c r="O484" s="6">
        <f t="shared" si="45"/>
        <v>0</v>
      </c>
      <c r="P484" s="6"/>
      <c r="S484" s="23"/>
      <c r="AG484" s="3">
        <v>472</v>
      </c>
      <c r="AI484" s="23">
        <f t="shared" si="46"/>
        <v>0</v>
      </c>
      <c r="AJ484" s="44">
        <f t="shared" si="47"/>
        <v>0</v>
      </c>
      <c r="AL484" s="6">
        <f t="shared" si="48"/>
        <v>0</v>
      </c>
    </row>
    <row r="485" spans="13:38" hidden="1" x14ac:dyDescent="0.25">
      <c r="M485" s="3">
        <v>473</v>
      </c>
      <c r="N485" s="3">
        <f t="shared" si="44"/>
        <v>0</v>
      </c>
      <c r="O485" s="6">
        <f t="shared" si="45"/>
        <v>0</v>
      </c>
      <c r="P485" s="6"/>
      <c r="S485" s="23"/>
      <c r="AG485" s="3">
        <v>473</v>
      </c>
      <c r="AI485" s="23">
        <f t="shared" si="46"/>
        <v>0</v>
      </c>
      <c r="AJ485" s="44">
        <f t="shared" si="47"/>
        <v>0</v>
      </c>
      <c r="AL485" s="6">
        <f t="shared" si="48"/>
        <v>0</v>
      </c>
    </row>
    <row r="486" spans="13:38" hidden="1" x14ac:dyDescent="0.25">
      <c r="M486" s="3">
        <v>474</v>
      </c>
      <c r="N486" s="3">
        <f t="shared" si="44"/>
        <v>0</v>
      </c>
      <c r="O486" s="6">
        <f t="shared" si="45"/>
        <v>0</v>
      </c>
      <c r="P486" s="6"/>
      <c r="S486" s="23"/>
      <c r="AG486" s="3">
        <v>474</v>
      </c>
      <c r="AI486" s="23">
        <f t="shared" si="46"/>
        <v>0</v>
      </c>
      <c r="AJ486" s="44">
        <f t="shared" si="47"/>
        <v>0</v>
      </c>
      <c r="AL486" s="6">
        <f t="shared" si="48"/>
        <v>0</v>
      </c>
    </row>
    <row r="487" spans="13:38" hidden="1" x14ac:dyDescent="0.25">
      <c r="M487" s="3">
        <v>475</v>
      </c>
      <c r="N487" s="3">
        <f t="shared" si="44"/>
        <v>0</v>
      </c>
      <c r="O487" s="6">
        <f t="shared" si="45"/>
        <v>0</v>
      </c>
      <c r="P487" s="6"/>
      <c r="S487" s="23"/>
      <c r="AG487" s="3">
        <v>475</v>
      </c>
      <c r="AI487" s="23">
        <f t="shared" si="46"/>
        <v>0</v>
      </c>
      <c r="AJ487" s="44">
        <f t="shared" si="47"/>
        <v>0</v>
      </c>
      <c r="AL487" s="6">
        <f t="shared" si="48"/>
        <v>0</v>
      </c>
    </row>
    <row r="488" spans="13:38" hidden="1" x14ac:dyDescent="0.25">
      <c r="M488" s="3">
        <v>476</v>
      </c>
      <c r="N488" s="3">
        <f t="shared" si="44"/>
        <v>0</v>
      </c>
      <c r="O488" s="6">
        <f t="shared" si="45"/>
        <v>0</v>
      </c>
      <c r="P488" s="6"/>
      <c r="S488" s="23"/>
      <c r="AG488" s="3">
        <v>476</v>
      </c>
      <c r="AI488" s="23">
        <f t="shared" si="46"/>
        <v>0</v>
      </c>
      <c r="AJ488" s="44">
        <f t="shared" si="47"/>
        <v>0</v>
      </c>
      <c r="AL488" s="6">
        <f t="shared" si="48"/>
        <v>0</v>
      </c>
    </row>
    <row r="489" spans="13:38" hidden="1" x14ac:dyDescent="0.25">
      <c r="M489" s="3">
        <v>477</v>
      </c>
      <c r="N489" s="3">
        <f t="shared" si="44"/>
        <v>0</v>
      </c>
      <c r="O489" s="6">
        <f t="shared" si="45"/>
        <v>0</v>
      </c>
      <c r="P489" s="6"/>
      <c r="S489" s="23"/>
      <c r="AG489" s="3">
        <v>477</v>
      </c>
      <c r="AI489" s="23">
        <f t="shared" si="46"/>
        <v>0</v>
      </c>
      <c r="AJ489" s="44">
        <f t="shared" si="47"/>
        <v>0</v>
      </c>
      <c r="AL489" s="6">
        <f t="shared" si="48"/>
        <v>0</v>
      </c>
    </row>
    <row r="490" spans="13:38" hidden="1" x14ac:dyDescent="0.25">
      <c r="M490" s="3">
        <v>478</v>
      </c>
      <c r="N490" s="3">
        <f t="shared" si="44"/>
        <v>0</v>
      </c>
      <c r="O490" s="6">
        <f t="shared" si="45"/>
        <v>0</v>
      </c>
      <c r="P490" s="6"/>
      <c r="S490" s="23"/>
      <c r="AG490" s="3">
        <v>478</v>
      </c>
      <c r="AI490" s="23">
        <f t="shared" si="46"/>
        <v>0</v>
      </c>
      <c r="AJ490" s="44">
        <f t="shared" si="47"/>
        <v>0</v>
      </c>
      <c r="AL490" s="6">
        <f t="shared" si="48"/>
        <v>0</v>
      </c>
    </row>
    <row r="491" spans="13:38" hidden="1" x14ac:dyDescent="0.25">
      <c r="M491" s="3">
        <v>479</v>
      </c>
      <c r="N491" s="3">
        <f t="shared" si="44"/>
        <v>0</v>
      </c>
      <c r="O491" s="6">
        <f t="shared" si="45"/>
        <v>0</v>
      </c>
      <c r="P491" s="6"/>
      <c r="S491" s="23"/>
      <c r="AG491" s="3">
        <v>479</v>
      </c>
      <c r="AI491" s="23">
        <f t="shared" si="46"/>
        <v>0</v>
      </c>
      <c r="AJ491" s="44">
        <f t="shared" si="47"/>
        <v>0</v>
      </c>
      <c r="AL491" s="6">
        <f t="shared" si="48"/>
        <v>0</v>
      </c>
    </row>
    <row r="492" spans="13:38" hidden="1" x14ac:dyDescent="0.25">
      <c r="M492" s="3">
        <v>480</v>
      </c>
      <c r="N492" s="3">
        <f t="shared" si="44"/>
        <v>0</v>
      </c>
      <c r="O492" s="6">
        <f t="shared" si="45"/>
        <v>0</v>
      </c>
      <c r="P492" s="6"/>
      <c r="S492" s="23"/>
      <c r="AG492" s="3">
        <v>480</v>
      </c>
      <c r="AI492" s="23">
        <f t="shared" si="46"/>
        <v>0</v>
      </c>
      <c r="AJ492" s="44">
        <f t="shared" si="47"/>
        <v>0</v>
      </c>
      <c r="AL492" s="6">
        <f t="shared" si="48"/>
        <v>0</v>
      </c>
    </row>
    <row r="493" spans="13:38" hidden="1" x14ac:dyDescent="0.25">
      <c r="M493" s="3">
        <v>481</v>
      </c>
      <c r="N493" s="3">
        <f t="shared" si="44"/>
        <v>0</v>
      </c>
      <c r="O493" s="6">
        <f t="shared" si="45"/>
        <v>0</v>
      </c>
      <c r="P493" s="6"/>
      <c r="S493" s="23"/>
      <c r="AG493" s="3">
        <v>481</v>
      </c>
      <c r="AI493" s="23">
        <f t="shared" si="46"/>
        <v>0</v>
      </c>
      <c r="AJ493" s="44">
        <f t="shared" si="47"/>
        <v>0</v>
      </c>
      <c r="AL493" s="6">
        <f t="shared" si="48"/>
        <v>0</v>
      </c>
    </row>
    <row r="494" spans="13:38" hidden="1" x14ac:dyDescent="0.25">
      <c r="M494" s="3">
        <v>482</v>
      </c>
      <c r="N494" s="3">
        <f t="shared" si="44"/>
        <v>0</v>
      </c>
      <c r="O494" s="6">
        <f t="shared" si="45"/>
        <v>0</v>
      </c>
      <c r="P494" s="6"/>
      <c r="S494" s="23"/>
      <c r="AG494" s="3">
        <v>482</v>
      </c>
      <c r="AI494" s="23">
        <f t="shared" si="46"/>
        <v>0</v>
      </c>
      <c r="AJ494" s="44">
        <f t="shared" si="47"/>
        <v>0</v>
      </c>
      <c r="AL494" s="6">
        <f t="shared" si="48"/>
        <v>0</v>
      </c>
    </row>
    <row r="495" spans="13:38" hidden="1" x14ac:dyDescent="0.25">
      <c r="M495" s="3">
        <v>483</v>
      </c>
      <c r="N495" s="3">
        <f t="shared" si="44"/>
        <v>0</v>
      </c>
      <c r="O495" s="6">
        <f t="shared" si="45"/>
        <v>0</v>
      </c>
      <c r="P495" s="6"/>
      <c r="S495" s="23"/>
      <c r="AG495" s="3">
        <v>483</v>
      </c>
      <c r="AI495" s="23">
        <f t="shared" si="46"/>
        <v>0</v>
      </c>
      <c r="AJ495" s="44">
        <f t="shared" si="47"/>
        <v>0</v>
      </c>
      <c r="AL495" s="6">
        <f t="shared" si="48"/>
        <v>0</v>
      </c>
    </row>
    <row r="496" spans="13:38" hidden="1" x14ac:dyDescent="0.25">
      <c r="M496" s="3">
        <v>484</v>
      </c>
      <c r="N496" s="3">
        <f t="shared" si="44"/>
        <v>0</v>
      </c>
      <c r="O496" s="6">
        <f t="shared" si="45"/>
        <v>0</v>
      </c>
      <c r="P496" s="6"/>
      <c r="S496" s="23"/>
      <c r="AG496" s="3">
        <v>484</v>
      </c>
      <c r="AI496" s="23">
        <f t="shared" si="46"/>
        <v>0</v>
      </c>
      <c r="AJ496" s="44">
        <f t="shared" si="47"/>
        <v>0</v>
      </c>
      <c r="AL496" s="6">
        <f t="shared" si="48"/>
        <v>0</v>
      </c>
    </row>
    <row r="497" spans="13:38" hidden="1" x14ac:dyDescent="0.25">
      <c r="M497" s="3">
        <v>485</v>
      </c>
      <c r="N497" s="3">
        <f t="shared" si="44"/>
        <v>0</v>
      </c>
      <c r="O497" s="6">
        <f t="shared" si="45"/>
        <v>0</v>
      </c>
      <c r="P497" s="6"/>
      <c r="S497" s="23"/>
      <c r="AG497" s="3">
        <v>485</v>
      </c>
      <c r="AI497" s="23">
        <f t="shared" si="46"/>
        <v>0</v>
      </c>
      <c r="AJ497" s="44">
        <f t="shared" si="47"/>
        <v>0</v>
      </c>
      <c r="AL497" s="6">
        <f t="shared" si="48"/>
        <v>0</v>
      </c>
    </row>
    <row r="498" spans="13:38" hidden="1" x14ac:dyDescent="0.25">
      <c r="M498" s="3">
        <v>486</v>
      </c>
      <c r="N498" s="3">
        <f t="shared" si="44"/>
        <v>0</v>
      </c>
      <c r="O498" s="6">
        <f t="shared" si="45"/>
        <v>0</v>
      </c>
      <c r="P498" s="6"/>
      <c r="S498" s="23"/>
      <c r="AG498" s="3">
        <v>486</v>
      </c>
      <c r="AI498" s="23">
        <f t="shared" si="46"/>
        <v>0</v>
      </c>
      <c r="AJ498" s="44">
        <f t="shared" si="47"/>
        <v>0</v>
      </c>
      <c r="AL498" s="6">
        <f t="shared" si="48"/>
        <v>0</v>
      </c>
    </row>
    <row r="499" spans="13:38" hidden="1" x14ac:dyDescent="0.25">
      <c r="M499" s="3">
        <v>487</v>
      </c>
      <c r="N499" s="3">
        <f t="shared" si="44"/>
        <v>0</v>
      </c>
      <c r="O499" s="6">
        <f t="shared" si="45"/>
        <v>0</v>
      </c>
      <c r="P499" s="6"/>
      <c r="S499" s="23"/>
      <c r="AG499" s="3">
        <v>487</v>
      </c>
      <c r="AI499" s="23">
        <f t="shared" si="46"/>
        <v>0</v>
      </c>
      <c r="AJ499" s="44">
        <f t="shared" si="47"/>
        <v>0</v>
      </c>
      <c r="AL499" s="6">
        <f t="shared" si="48"/>
        <v>0</v>
      </c>
    </row>
    <row r="500" spans="13:38" hidden="1" x14ac:dyDescent="0.25">
      <c r="M500" s="3">
        <v>488</v>
      </c>
      <c r="N500" s="3">
        <f t="shared" si="44"/>
        <v>0</v>
      </c>
      <c r="O500" s="6">
        <f t="shared" si="45"/>
        <v>0</v>
      </c>
      <c r="P500" s="6"/>
      <c r="S500" s="23"/>
      <c r="AG500" s="3">
        <v>488</v>
      </c>
      <c r="AI500" s="23">
        <f t="shared" si="46"/>
        <v>0</v>
      </c>
      <c r="AJ500" s="44">
        <f t="shared" si="47"/>
        <v>0</v>
      </c>
      <c r="AL500" s="6">
        <f t="shared" si="48"/>
        <v>0</v>
      </c>
    </row>
    <row r="501" spans="13:38" hidden="1" x14ac:dyDescent="0.25">
      <c r="M501" s="3">
        <v>489</v>
      </c>
      <c r="N501" s="3">
        <f t="shared" si="44"/>
        <v>0</v>
      </c>
      <c r="O501" s="6">
        <f t="shared" si="45"/>
        <v>0</v>
      </c>
      <c r="P501" s="6"/>
      <c r="S501" s="23"/>
      <c r="AG501" s="3">
        <v>489</v>
      </c>
      <c r="AI501" s="23">
        <f t="shared" si="46"/>
        <v>0</v>
      </c>
      <c r="AJ501" s="44">
        <f t="shared" si="47"/>
        <v>0</v>
      </c>
      <c r="AL501" s="6">
        <f t="shared" si="48"/>
        <v>0</v>
      </c>
    </row>
    <row r="502" spans="13:38" hidden="1" x14ac:dyDescent="0.25">
      <c r="M502" s="3">
        <v>490</v>
      </c>
      <c r="N502" s="3">
        <f t="shared" si="44"/>
        <v>0</v>
      </c>
      <c r="O502" s="6">
        <f t="shared" si="45"/>
        <v>0</v>
      </c>
      <c r="P502" s="6"/>
      <c r="S502" s="23"/>
      <c r="AG502" s="3">
        <v>490</v>
      </c>
      <c r="AI502" s="23">
        <f t="shared" si="46"/>
        <v>0</v>
      </c>
      <c r="AJ502" s="44">
        <f t="shared" si="47"/>
        <v>0</v>
      </c>
      <c r="AL502" s="6">
        <f t="shared" si="48"/>
        <v>0</v>
      </c>
    </row>
    <row r="503" spans="13:38" hidden="1" x14ac:dyDescent="0.25">
      <c r="M503" s="3">
        <v>491</v>
      </c>
      <c r="N503" s="3">
        <f t="shared" si="44"/>
        <v>0</v>
      </c>
      <c r="O503" s="6">
        <f t="shared" si="45"/>
        <v>0</v>
      </c>
      <c r="P503" s="6"/>
      <c r="S503" s="23"/>
      <c r="AG503" s="3">
        <v>491</v>
      </c>
      <c r="AI503" s="23">
        <f t="shared" si="46"/>
        <v>0</v>
      </c>
      <c r="AJ503" s="44">
        <f t="shared" si="47"/>
        <v>0</v>
      </c>
      <c r="AL503" s="6">
        <f t="shared" si="48"/>
        <v>0</v>
      </c>
    </row>
    <row r="504" spans="13:38" hidden="1" x14ac:dyDescent="0.25">
      <c r="M504" s="3">
        <v>492</v>
      </c>
      <c r="N504" s="3">
        <f t="shared" si="44"/>
        <v>0</v>
      </c>
      <c r="O504" s="6">
        <f t="shared" si="45"/>
        <v>0</v>
      </c>
      <c r="P504" s="6"/>
      <c r="S504" s="23"/>
      <c r="AG504" s="3">
        <v>492</v>
      </c>
      <c r="AI504" s="23">
        <f t="shared" si="46"/>
        <v>0</v>
      </c>
      <c r="AJ504" s="44">
        <f t="shared" si="47"/>
        <v>0</v>
      </c>
      <c r="AL504" s="6">
        <f t="shared" si="48"/>
        <v>0</v>
      </c>
    </row>
    <row r="505" spans="13:38" hidden="1" x14ac:dyDescent="0.25">
      <c r="M505" s="3">
        <v>493</v>
      </c>
      <c r="N505" s="3">
        <f t="shared" si="44"/>
        <v>0</v>
      </c>
      <c r="O505" s="6">
        <f t="shared" si="45"/>
        <v>0</v>
      </c>
      <c r="P505" s="6"/>
      <c r="S505" s="23"/>
      <c r="AG505" s="3">
        <v>493</v>
      </c>
      <c r="AI505" s="23">
        <f t="shared" si="46"/>
        <v>0</v>
      </c>
      <c r="AJ505" s="44">
        <f t="shared" si="47"/>
        <v>0</v>
      </c>
      <c r="AL505" s="6">
        <f t="shared" si="48"/>
        <v>0</v>
      </c>
    </row>
    <row r="506" spans="13:38" hidden="1" x14ac:dyDescent="0.25">
      <c r="M506" s="3">
        <v>494</v>
      </c>
      <c r="N506" s="3">
        <f t="shared" si="44"/>
        <v>0</v>
      </c>
      <c r="O506" s="6">
        <f t="shared" si="45"/>
        <v>0</v>
      </c>
      <c r="P506" s="6"/>
      <c r="S506" s="23"/>
      <c r="AG506" s="3">
        <v>494</v>
      </c>
      <c r="AI506" s="23">
        <f t="shared" si="46"/>
        <v>0</v>
      </c>
      <c r="AJ506" s="44">
        <f t="shared" si="47"/>
        <v>0</v>
      </c>
      <c r="AL506" s="6">
        <f t="shared" si="48"/>
        <v>0</v>
      </c>
    </row>
    <row r="507" spans="13:38" hidden="1" x14ac:dyDescent="0.25">
      <c r="M507" s="3">
        <v>495</v>
      </c>
      <c r="N507" s="3">
        <f t="shared" si="44"/>
        <v>0</v>
      </c>
      <c r="O507" s="6">
        <f t="shared" si="45"/>
        <v>0</v>
      </c>
      <c r="P507" s="6"/>
      <c r="S507" s="23"/>
      <c r="AG507" s="3">
        <v>495</v>
      </c>
      <c r="AI507" s="23">
        <f t="shared" si="46"/>
        <v>0</v>
      </c>
      <c r="AJ507" s="44">
        <f t="shared" si="47"/>
        <v>0</v>
      </c>
      <c r="AL507" s="6">
        <f t="shared" si="48"/>
        <v>0</v>
      </c>
    </row>
    <row r="508" spans="13:38" hidden="1" x14ac:dyDescent="0.25">
      <c r="M508" s="3">
        <v>496</v>
      </c>
      <c r="N508" s="3">
        <f t="shared" si="44"/>
        <v>0</v>
      </c>
      <c r="O508" s="6">
        <f t="shared" si="45"/>
        <v>0</v>
      </c>
      <c r="P508" s="6"/>
      <c r="S508" s="23"/>
      <c r="AG508" s="3">
        <v>496</v>
      </c>
      <c r="AI508" s="23">
        <f t="shared" si="46"/>
        <v>0</v>
      </c>
      <c r="AJ508" s="44">
        <f t="shared" si="47"/>
        <v>0</v>
      </c>
      <c r="AL508" s="6">
        <f t="shared" si="48"/>
        <v>0</v>
      </c>
    </row>
    <row r="509" spans="13:38" hidden="1" x14ac:dyDescent="0.25">
      <c r="M509" s="3">
        <v>497</v>
      </c>
      <c r="N509" s="3">
        <f t="shared" si="44"/>
        <v>0</v>
      </c>
      <c r="O509" s="6">
        <f t="shared" si="45"/>
        <v>0</v>
      </c>
      <c r="P509" s="6"/>
      <c r="S509" s="23"/>
      <c r="AG509" s="3">
        <v>497</v>
      </c>
      <c r="AI509" s="23">
        <f t="shared" si="46"/>
        <v>0</v>
      </c>
      <c r="AJ509" s="44">
        <f t="shared" si="47"/>
        <v>0</v>
      </c>
      <c r="AL509" s="6">
        <f t="shared" si="48"/>
        <v>0</v>
      </c>
    </row>
    <row r="510" spans="13:38" hidden="1" x14ac:dyDescent="0.25">
      <c r="M510" s="3">
        <v>498</v>
      </c>
      <c r="N510" s="3">
        <f t="shared" si="44"/>
        <v>0</v>
      </c>
      <c r="O510" s="6">
        <f t="shared" si="45"/>
        <v>0</v>
      </c>
      <c r="P510" s="6"/>
      <c r="S510" s="23"/>
      <c r="AG510" s="3">
        <v>498</v>
      </c>
      <c r="AI510" s="23">
        <f t="shared" si="46"/>
        <v>0</v>
      </c>
      <c r="AJ510" s="44">
        <f t="shared" si="47"/>
        <v>0</v>
      </c>
      <c r="AL510" s="6">
        <f t="shared" si="48"/>
        <v>0</v>
      </c>
    </row>
    <row r="511" spans="13:38" hidden="1" x14ac:dyDescent="0.25">
      <c r="M511" s="3">
        <v>499</v>
      </c>
      <c r="N511" s="3">
        <f t="shared" si="44"/>
        <v>0</v>
      </c>
      <c r="O511" s="6">
        <f t="shared" si="45"/>
        <v>0</v>
      </c>
      <c r="P511" s="6"/>
      <c r="S511" s="23"/>
      <c r="AG511" s="3">
        <v>499</v>
      </c>
      <c r="AI511" s="23">
        <f t="shared" si="46"/>
        <v>0</v>
      </c>
      <c r="AJ511" s="44">
        <f t="shared" si="47"/>
        <v>0</v>
      </c>
      <c r="AL511" s="6">
        <f t="shared" si="48"/>
        <v>0</v>
      </c>
    </row>
    <row r="512" spans="13:38" hidden="1" x14ac:dyDescent="0.25">
      <c r="M512" s="3">
        <v>500</v>
      </c>
      <c r="N512" s="3">
        <f t="shared" si="44"/>
        <v>0</v>
      </c>
      <c r="O512" s="6">
        <f t="shared" si="45"/>
        <v>0</v>
      </c>
      <c r="P512" s="6"/>
      <c r="S512" s="23"/>
      <c r="AG512" s="3">
        <v>500</v>
      </c>
      <c r="AI512" s="23">
        <f t="shared" si="46"/>
        <v>0</v>
      </c>
      <c r="AJ512" s="44">
        <f t="shared" si="47"/>
        <v>0</v>
      </c>
      <c r="AL512" s="6">
        <f t="shared" si="48"/>
        <v>0</v>
      </c>
    </row>
    <row r="513" spans="13:38" hidden="1" x14ac:dyDescent="0.25">
      <c r="M513" s="3">
        <v>501</v>
      </c>
      <c r="N513" s="3">
        <f t="shared" si="44"/>
        <v>0</v>
      </c>
      <c r="O513" s="6">
        <f t="shared" si="45"/>
        <v>0</v>
      </c>
      <c r="P513" s="6"/>
      <c r="S513" s="23"/>
      <c r="AG513" s="3">
        <v>501</v>
      </c>
      <c r="AI513" s="23">
        <f t="shared" si="46"/>
        <v>0</v>
      </c>
      <c r="AJ513" s="44">
        <f t="shared" si="47"/>
        <v>0</v>
      </c>
      <c r="AL513" s="6">
        <f t="shared" si="48"/>
        <v>0</v>
      </c>
    </row>
    <row r="514" spans="13:38" hidden="1" x14ac:dyDescent="0.25">
      <c r="M514" s="3">
        <v>502</v>
      </c>
      <c r="N514" s="3">
        <f t="shared" si="44"/>
        <v>0</v>
      </c>
      <c r="O514" s="6">
        <f t="shared" si="45"/>
        <v>0</v>
      </c>
      <c r="P514" s="6"/>
      <c r="S514" s="23"/>
      <c r="AG514" s="3">
        <v>502</v>
      </c>
      <c r="AI514" s="23">
        <f t="shared" si="46"/>
        <v>0</v>
      </c>
      <c r="AJ514" s="44">
        <f t="shared" si="47"/>
        <v>0</v>
      </c>
      <c r="AL514" s="6">
        <f t="shared" si="48"/>
        <v>0</v>
      </c>
    </row>
    <row r="515" spans="13:38" hidden="1" x14ac:dyDescent="0.25">
      <c r="M515" s="3">
        <v>503</v>
      </c>
      <c r="N515" s="3">
        <f t="shared" si="44"/>
        <v>0</v>
      </c>
      <c r="O515" s="6">
        <f t="shared" si="45"/>
        <v>0</v>
      </c>
      <c r="P515" s="6"/>
      <c r="S515" s="23"/>
      <c r="AG515" s="3">
        <v>503</v>
      </c>
      <c r="AI515" s="23">
        <f t="shared" si="46"/>
        <v>0</v>
      </c>
      <c r="AJ515" s="44">
        <f t="shared" si="47"/>
        <v>0</v>
      </c>
      <c r="AL515" s="6">
        <f t="shared" si="48"/>
        <v>0</v>
      </c>
    </row>
    <row r="516" spans="13:38" hidden="1" x14ac:dyDescent="0.25">
      <c r="M516" s="3">
        <v>504</v>
      </c>
      <c r="N516" s="3">
        <f t="shared" si="44"/>
        <v>0</v>
      </c>
      <c r="O516" s="6">
        <f t="shared" si="45"/>
        <v>0</v>
      </c>
      <c r="P516" s="6"/>
      <c r="S516" s="23"/>
      <c r="AG516" s="3">
        <v>504</v>
      </c>
      <c r="AI516" s="23">
        <f t="shared" si="46"/>
        <v>0</v>
      </c>
      <c r="AJ516" s="44">
        <f t="shared" si="47"/>
        <v>0</v>
      </c>
      <c r="AL516" s="6">
        <f t="shared" si="48"/>
        <v>0</v>
      </c>
    </row>
    <row r="517" spans="13:38" hidden="1" x14ac:dyDescent="0.25">
      <c r="M517" s="3">
        <v>505</v>
      </c>
      <c r="N517" s="3">
        <f t="shared" si="44"/>
        <v>0</v>
      </c>
      <c r="O517" s="6">
        <f t="shared" si="45"/>
        <v>0</v>
      </c>
      <c r="P517" s="6"/>
      <c r="S517" s="23"/>
      <c r="AG517" s="3">
        <v>505</v>
      </c>
      <c r="AI517" s="23">
        <f t="shared" si="46"/>
        <v>0</v>
      </c>
      <c r="AJ517" s="44">
        <f t="shared" si="47"/>
        <v>0</v>
      </c>
      <c r="AL517" s="6">
        <f t="shared" si="48"/>
        <v>0</v>
      </c>
    </row>
    <row r="518" spans="13:38" hidden="1" x14ac:dyDescent="0.25">
      <c r="M518" s="3">
        <v>506</v>
      </c>
      <c r="N518" s="3">
        <f t="shared" si="44"/>
        <v>0</v>
      </c>
      <c r="O518" s="6">
        <f t="shared" si="45"/>
        <v>0</v>
      </c>
      <c r="P518" s="6"/>
      <c r="S518" s="23"/>
      <c r="AG518" s="3">
        <v>506</v>
      </c>
      <c r="AI518" s="23">
        <f t="shared" si="46"/>
        <v>0</v>
      </c>
      <c r="AJ518" s="44">
        <f t="shared" si="47"/>
        <v>0</v>
      </c>
      <c r="AL518" s="6">
        <f t="shared" si="48"/>
        <v>0</v>
      </c>
    </row>
    <row r="519" spans="13:38" hidden="1" x14ac:dyDescent="0.25">
      <c r="M519" s="3">
        <v>507</v>
      </c>
      <c r="N519" s="3">
        <f t="shared" si="44"/>
        <v>0</v>
      </c>
      <c r="O519" s="6">
        <f t="shared" si="45"/>
        <v>0</v>
      </c>
      <c r="P519" s="6"/>
      <c r="S519" s="23"/>
      <c r="AG519" s="3">
        <v>507</v>
      </c>
      <c r="AI519" s="23">
        <f t="shared" si="46"/>
        <v>0</v>
      </c>
      <c r="AJ519" s="44">
        <f t="shared" si="47"/>
        <v>0</v>
      </c>
      <c r="AL519" s="6">
        <f t="shared" si="48"/>
        <v>0</v>
      </c>
    </row>
    <row r="520" spans="13:38" hidden="1" x14ac:dyDescent="0.25">
      <c r="M520" s="3">
        <v>508</v>
      </c>
      <c r="N520" s="3">
        <f t="shared" si="44"/>
        <v>0</v>
      </c>
      <c r="O520" s="6">
        <f t="shared" si="45"/>
        <v>0</v>
      </c>
      <c r="P520" s="6"/>
      <c r="S520" s="23"/>
      <c r="AG520" s="3">
        <v>508</v>
      </c>
      <c r="AI520" s="23">
        <f t="shared" si="46"/>
        <v>0</v>
      </c>
      <c r="AJ520" s="44">
        <f t="shared" si="47"/>
        <v>0</v>
      </c>
      <c r="AL520" s="6">
        <f t="shared" si="48"/>
        <v>0</v>
      </c>
    </row>
    <row r="521" spans="13:38" hidden="1" x14ac:dyDescent="0.25">
      <c r="M521" s="3">
        <v>509</v>
      </c>
      <c r="N521" s="3">
        <f t="shared" si="44"/>
        <v>0</v>
      </c>
      <c r="O521" s="6">
        <f t="shared" si="45"/>
        <v>0</v>
      </c>
      <c r="P521" s="6"/>
      <c r="S521" s="23"/>
      <c r="AG521" s="3">
        <v>509</v>
      </c>
      <c r="AI521" s="23">
        <f t="shared" si="46"/>
        <v>0</v>
      </c>
      <c r="AJ521" s="44">
        <f t="shared" si="47"/>
        <v>0</v>
      </c>
      <c r="AL521" s="6">
        <f t="shared" si="48"/>
        <v>0</v>
      </c>
    </row>
    <row r="522" spans="13:38" hidden="1" x14ac:dyDescent="0.25">
      <c r="M522" s="3">
        <v>510</v>
      </c>
      <c r="N522" s="3">
        <f t="shared" si="44"/>
        <v>0</v>
      </c>
      <c r="O522" s="6">
        <f t="shared" si="45"/>
        <v>0</v>
      </c>
      <c r="P522" s="6"/>
      <c r="S522" s="23"/>
      <c r="AG522" s="3">
        <v>510</v>
      </c>
      <c r="AI522" s="23">
        <f t="shared" si="46"/>
        <v>0</v>
      </c>
      <c r="AJ522" s="44">
        <f t="shared" si="47"/>
        <v>0</v>
      </c>
      <c r="AL522" s="6">
        <f t="shared" si="48"/>
        <v>0</v>
      </c>
    </row>
    <row r="523" spans="13:38" hidden="1" x14ac:dyDescent="0.25">
      <c r="M523" s="3">
        <v>511</v>
      </c>
      <c r="N523" s="3">
        <f t="shared" si="44"/>
        <v>0</v>
      </c>
      <c r="O523" s="6">
        <f t="shared" si="45"/>
        <v>0</v>
      </c>
      <c r="P523" s="6"/>
      <c r="S523" s="23"/>
      <c r="AG523" s="3">
        <v>511</v>
      </c>
      <c r="AI523" s="23">
        <f t="shared" si="46"/>
        <v>0</v>
      </c>
      <c r="AJ523" s="44">
        <f t="shared" si="47"/>
        <v>0</v>
      </c>
      <c r="AL523" s="6">
        <f t="shared" si="48"/>
        <v>0</v>
      </c>
    </row>
    <row r="524" spans="13:38" hidden="1" x14ac:dyDescent="0.25">
      <c r="M524" s="3">
        <v>512</v>
      </c>
      <c r="N524" s="3">
        <f t="shared" si="44"/>
        <v>0</v>
      </c>
      <c r="O524" s="6">
        <f t="shared" si="45"/>
        <v>0</v>
      </c>
      <c r="P524" s="6"/>
      <c r="S524" s="23"/>
      <c r="AG524" s="3">
        <v>512</v>
      </c>
      <c r="AI524" s="23">
        <f t="shared" si="46"/>
        <v>0</v>
      </c>
      <c r="AJ524" s="44">
        <f t="shared" si="47"/>
        <v>0</v>
      </c>
      <c r="AL524" s="6">
        <f t="shared" si="48"/>
        <v>0</v>
      </c>
    </row>
    <row r="525" spans="13:38" hidden="1" x14ac:dyDescent="0.25">
      <c r="M525" s="3">
        <v>513</v>
      </c>
      <c r="N525" s="3">
        <f t="shared" ref="N525:N588" si="49">IF(M525&lt;=IF($T$6=1,$O$8,ROUNDUP($J$8,0)),SIPAmount,0)</f>
        <v>0</v>
      </c>
      <c r="O525" s="6">
        <f t="shared" ref="O525:O588" si="50">FV(SIPRate,M525,-N525,0,1)</f>
        <v>0</v>
      </c>
      <c r="P525" s="6"/>
      <c r="S525" s="23"/>
      <c r="AG525" s="3">
        <v>513</v>
      </c>
      <c r="AI525" s="23">
        <f t="shared" si="46"/>
        <v>0</v>
      </c>
      <c r="AJ525" s="44">
        <f t="shared" si="47"/>
        <v>0</v>
      </c>
      <c r="AL525" s="6">
        <f t="shared" si="48"/>
        <v>0</v>
      </c>
    </row>
    <row r="526" spans="13:38" hidden="1" x14ac:dyDescent="0.25">
      <c r="M526" s="3">
        <v>514</v>
      </c>
      <c r="N526" s="3">
        <f t="shared" si="49"/>
        <v>0</v>
      </c>
      <c r="O526" s="6">
        <f t="shared" si="50"/>
        <v>0</v>
      </c>
      <c r="P526" s="6"/>
      <c r="S526" s="23"/>
      <c r="AG526" s="3">
        <v>514</v>
      </c>
      <c r="AI526" s="23">
        <f t="shared" ref="AI526:AI589" si="51">IF(AG526&lt;=$O$8,FV($O$3,AG526,-$O$5,0,1),0)</f>
        <v>0</v>
      </c>
      <c r="AJ526" s="44">
        <f t="shared" ref="AJ526:AJ589" si="52">IF(OR(AJ525=0,AJ525&gt;=$C$15),0,FV($O$3,AG526,-$C$17,0,1))</f>
        <v>0</v>
      </c>
      <c r="AL526" s="6">
        <f t="shared" ref="AL526:AL589" si="53">O526</f>
        <v>0</v>
      </c>
    </row>
    <row r="527" spans="13:38" hidden="1" x14ac:dyDescent="0.25">
      <c r="M527" s="3">
        <v>515</v>
      </c>
      <c r="N527" s="3">
        <f t="shared" si="49"/>
        <v>0</v>
      </c>
      <c r="O527" s="6">
        <f t="shared" si="50"/>
        <v>0</v>
      </c>
      <c r="P527" s="6"/>
      <c r="S527" s="23"/>
      <c r="AG527" s="3">
        <v>515</v>
      </c>
      <c r="AI527" s="23">
        <f t="shared" si="51"/>
        <v>0</v>
      </c>
      <c r="AJ527" s="44">
        <f t="shared" si="52"/>
        <v>0</v>
      </c>
      <c r="AL527" s="6">
        <f t="shared" si="53"/>
        <v>0</v>
      </c>
    </row>
    <row r="528" spans="13:38" hidden="1" x14ac:dyDescent="0.25">
      <c r="M528" s="3">
        <v>516</v>
      </c>
      <c r="N528" s="3">
        <f t="shared" si="49"/>
        <v>0</v>
      </c>
      <c r="O528" s="6">
        <f t="shared" si="50"/>
        <v>0</v>
      </c>
      <c r="P528" s="6"/>
      <c r="S528" s="23"/>
      <c r="AG528" s="3">
        <v>516</v>
      </c>
      <c r="AI528" s="23">
        <f t="shared" si="51"/>
        <v>0</v>
      </c>
      <c r="AJ528" s="44">
        <f t="shared" si="52"/>
        <v>0</v>
      </c>
      <c r="AL528" s="6">
        <f t="shared" si="53"/>
        <v>0</v>
      </c>
    </row>
    <row r="529" spans="13:38" hidden="1" x14ac:dyDescent="0.25">
      <c r="M529" s="3">
        <v>517</v>
      </c>
      <c r="N529" s="3">
        <f t="shared" si="49"/>
        <v>0</v>
      </c>
      <c r="O529" s="6">
        <f t="shared" si="50"/>
        <v>0</v>
      </c>
      <c r="P529" s="6"/>
      <c r="S529" s="23"/>
      <c r="AG529" s="3">
        <v>517</v>
      </c>
      <c r="AI529" s="23">
        <f t="shared" si="51"/>
        <v>0</v>
      </c>
      <c r="AJ529" s="44">
        <f t="shared" si="52"/>
        <v>0</v>
      </c>
      <c r="AL529" s="6">
        <f t="shared" si="53"/>
        <v>0</v>
      </c>
    </row>
    <row r="530" spans="13:38" hidden="1" x14ac:dyDescent="0.25">
      <c r="M530" s="3">
        <v>518</v>
      </c>
      <c r="N530" s="3">
        <f t="shared" si="49"/>
        <v>0</v>
      </c>
      <c r="O530" s="6">
        <f t="shared" si="50"/>
        <v>0</v>
      </c>
      <c r="P530" s="6"/>
      <c r="S530" s="23"/>
      <c r="AG530" s="3">
        <v>518</v>
      </c>
      <c r="AI530" s="23">
        <f t="shared" si="51"/>
        <v>0</v>
      </c>
      <c r="AJ530" s="44">
        <f t="shared" si="52"/>
        <v>0</v>
      </c>
      <c r="AL530" s="6">
        <f t="shared" si="53"/>
        <v>0</v>
      </c>
    </row>
    <row r="531" spans="13:38" hidden="1" x14ac:dyDescent="0.25">
      <c r="M531" s="3">
        <v>519</v>
      </c>
      <c r="N531" s="3">
        <f t="shared" si="49"/>
        <v>0</v>
      </c>
      <c r="O531" s="6">
        <f t="shared" si="50"/>
        <v>0</v>
      </c>
      <c r="P531" s="6"/>
      <c r="S531" s="23"/>
      <c r="AG531" s="3">
        <v>519</v>
      </c>
      <c r="AI531" s="23">
        <f t="shared" si="51"/>
        <v>0</v>
      </c>
      <c r="AJ531" s="44">
        <f t="shared" si="52"/>
        <v>0</v>
      </c>
      <c r="AL531" s="6">
        <f t="shared" si="53"/>
        <v>0</v>
      </c>
    </row>
    <row r="532" spans="13:38" hidden="1" x14ac:dyDescent="0.25">
      <c r="M532" s="3">
        <v>520</v>
      </c>
      <c r="N532" s="3">
        <f t="shared" si="49"/>
        <v>0</v>
      </c>
      <c r="O532" s="6">
        <f t="shared" si="50"/>
        <v>0</v>
      </c>
      <c r="P532" s="6"/>
      <c r="S532" s="23"/>
      <c r="AG532" s="3">
        <v>520</v>
      </c>
      <c r="AI532" s="23">
        <f t="shared" si="51"/>
        <v>0</v>
      </c>
      <c r="AJ532" s="44">
        <f t="shared" si="52"/>
        <v>0</v>
      </c>
      <c r="AL532" s="6">
        <f t="shared" si="53"/>
        <v>0</v>
      </c>
    </row>
    <row r="533" spans="13:38" hidden="1" x14ac:dyDescent="0.25">
      <c r="M533" s="3">
        <v>521</v>
      </c>
      <c r="N533" s="3">
        <f t="shared" si="49"/>
        <v>0</v>
      </c>
      <c r="O533" s="6">
        <f t="shared" si="50"/>
        <v>0</v>
      </c>
      <c r="P533" s="6"/>
      <c r="S533" s="23"/>
      <c r="AG533" s="3">
        <v>521</v>
      </c>
      <c r="AI533" s="23">
        <f t="shared" si="51"/>
        <v>0</v>
      </c>
      <c r="AJ533" s="44">
        <f t="shared" si="52"/>
        <v>0</v>
      </c>
      <c r="AL533" s="6">
        <f t="shared" si="53"/>
        <v>0</v>
      </c>
    </row>
    <row r="534" spans="13:38" hidden="1" x14ac:dyDescent="0.25">
      <c r="M534" s="3">
        <v>522</v>
      </c>
      <c r="N534" s="3">
        <f t="shared" si="49"/>
        <v>0</v>
      </c>
      <c r="O534" s="6">
        <f t="shared" si="50"/>
        <v>0</v>
      </c>
      <c r="P534" s="6"/>
      <c r="S534" s="23"/>
      <c r="AG534" s="3">
        <v>522</v>
      </c>
      <c r="AI534" s="23">
        <f t="shared" si="51"/>
        <v>0</v>
      </c>
      <c r="AJ534" s="44">
        <f t="shared" si="52"/>
        <v>0</v>
      </c>
      <c r="AL534" s="6">
        <f t="shared" si="53"/>
        <v>0</v>
      </c>
    </row>
    <row r="535" spans="13:38" hidden="1" x14ac:dyDescent="0.25">
      <c r="M535" s="3">
        <v>523</v>
      </c>
      <c r="N535" s="3">
        <f t="shared" si="49"/>
        <v>0</v>
      </c>
      <c r="O535" s="6">
        <f t="shared" si="50"/>
        <v>0</v>
      </c>
      <c r="P535" s="6"/>
      <c r="S535" s="23"/>
      <c r="AG535" s="3">
        <v>523</v>
      </c>
      <c r="AI535" s="23">
        <f t="shared" si="51"/>
        <v>0</v>
      </c>
      <c r="AJ535" s="44">
        <f t="shared" si="52"/>
        <v>0</v>
      </c>
      <c r="AL535" s="6">
        <f t="shared" si="53"/>
        <v>0</v>
      </c>
    </row>
    <row r="536" spans="13:38" hidden="1" x14ac:dyDescent="0.25">
      <c r="M536" s="3">
        <v>524</v>
      </c>
      <c r="N536" s="3">
        <f t="shared" si="49"/>
        <v>0</v>
      </c>
      <c r="O536" s="6">
        <f t="shared" si="50"/>
        <v>0</v>
      </c>
      <c r="P536" s="6"/>
      <c r="S536" s="23"/>
      <c r="AG536" s="3">
        <v>524</v>
      </c>
      <c r="AI536" s="23">
        <f t="shared" si="51"/>
        <v>0</v>
      </c>
      <c r="AJ536" s="44">
        <f t="shared" si="52"/>
        <v>0</v>
      </c>
      <c r="AL536" s="6">
        <f t="shared" si="53"/>
        <v>0</v>
      </c>
    </row>
    <row r="537" spans="13:38" hidden="1" x14ac:dyDescent="0.25">
      <c r="M537" s="3">
        <v>525</v>
      </c>
      <c r="N537" s="3">
        <f t="shared" si="49"/>
        <v>0</v>
      </c>
      <c r="O537" s="6">
        <f t="shared" si="50"/>
        <v>0</v>
      </c>
      <c r="P537" s="6"/>
      <c r="S537" s="23"/>
      <c r="AG537" s="3">
        <v>525</v>
      </c>
      <c r="AI537" s="23">
        <f t="shared" si="51"/>
        <v>0</v>
      </c>
      <c r="AJ537" s="44">
        <f t="shared" si="52"/>
        <v>0</v>
      </c>
      <c r="AL537" s="6">
        <f t="shared" si="53"/>
        <v>0</v>
      </c>
    </row>
    <row r="538" spans="13:38" hidden="1" x14ac:dyDescent="0.25">
      <c r="M538" s="3">
        <v>526</v>
      </c>
      <c r="N538" s="3">
        <f t="shared" si="49"/>
        <v>0</v>
      </c>
      <c r="O538" s="6">
        <f t="shared" si="50"/>
        <v>0</v>
      </c>
      <c r="P538" s="6"/>
      <c r="S538" s="23"/>
      <c r="AG538" s="3">
        <v>526</v>
      </c>
      <c r="AI538" s="23">
        <f t="shared" si="51"/>
        <v>0</v>
      </c>
      <c r="AJ538" s="44">
        <f t="shared" si="52"/>
        <v>0</v>
      </c>
      <c r="AL538" s="6">
        <f t="shared" si="53"/>
        <v>0</v>
      </c>
    </row>
    <row r="539" spans="13:38" hidden="1" x14ac:dyDescent="0.25">
      <c r="M539" s="3">
        <v>527</v>
      </c>
      <c r="N539" s="3">
        <f t="shared" si="49"/>
        <v>0</v>
      </c>
      <c r="O539" s="6">
        <f t="shared" si="50"/>
        <v>0</v>
      </c>
      <c r="P539" s="6"/>
      <c r="S539" s="23"/>
      <c r="AG539" s="3">
        <v>527</v>
      </c>
      <c r="AI539" s="23">
        <f t="shared" si="51"/>
        <v>0</v>
      </c>
      <c r="AJ539" s="44">
        <f t="shared" si="52"/>
        <v>0</v>
      </c>
      <c r="AL539" s="6">
        <f t="shared" si="53"/>
        <v>0</v>
      </c>
    </row>
    <row r="540" spans="13:38" hidden="1" x14ac:dyDescent="0.25">
      <c r="M540" s="3">
        <v>528</v>
      </c>
      <c r="N540" s="3">
        <f t="shared" si="49"/>
        <v>0</v>
      </c>
      <c r="O540" s="6">
        <f t="shared" si="50"/>
        <v>0</v>
      </c>
      <c r="P540" s="6"/>
      <c r="S540" s="23"/>
      <c r="AG540" s="3">
        <v>528</v>
      </c>
      <c r="AI540" s="23">
        <f t="shared" si="51"/>
        <v>0</v>
      </c>
      <c r="AJ540" s="44">
        <f t="shared" si="52"/>
        <v>0</v>
      </c>
      <c r="AL540" s="6">
        <f t="shared" si="53"/>
        <v>0</v>
      </c>
    </row>
    <row r="541" spans="13:38" hidden="1" x14ac:dyDescent="0.25">
      <c r="M541" s="3">
        <v>529</v>
      </c>
      <c r="N541" s="3">
        <f t="shared" si="49"/>
        <v>0</v>
      </c>
      <c r="O541" s="6">
        <f t="shared" si="50"/>
        <v>0</v>
      </c>
      <c r="P541" s="6"/>
      <c r="S541" s="23"/>
      <c r="AG541" s="3">
        <v>529</v>
      </c>
      <c r="AI541" s="23">
        <f t="shared" si="51"/>
        <v>0</v>
      </c>
      <c r="AJ541" s="44">
        <f t="shared" si="52"/>
        <v>0</v>
      </c>
      <c r="AL541" s="6">
        <f t="shared" si="53"/>
        <v>0</v>
      </c>
    </row>
    <row r="542" spans="13:38" hidden="1" x14ac:dyDescent="0.25">
      <c r="M542" s="3">
        <v>530</v>
      </c>
      <c r="N542" s="3">
        <f t="shared" si="49"/>
        <v>0</v>
      </c>
      <c r="O542" s="6">
        <f t="shared" si="50"/>
        <v>0</v>
      </c>
      <c r="P542" s="6"/>
      <c r="S542" s="23"/>
      <c r="AG542" s="3">
        <v>530</v>
      </c>
      <c r="AI542" s="23">
        <f t="shared" si="51"/>
        <v>0</v>
      </c>
      <c r="AJ542" s="44">
        <f t="shared" si="52"/>
        <v>0</v>
      </c>
      <c r="AL542" s="6">
        <f t="shared" si="53"/>
        <v>0</v>
      </c>
    </row>
    <row r="543" spans="13:38" hidden="1" x14ac:dyDescent="0.25">
      <c r="M543" s="3">
        <v>531</v>
      </c>
      <c r="N543" s="3">
        <f t="shared" si="49"/>
        <v>0</v>
      </c>
      <c r="O543" s="6">
        <f t="shared" si="50"/>
        <v>0</v>
      </c>
      <c r="P543" s="6"/>
      <c r="S543" s="23"/>
      <c r="AG543" s="3">
        <v>531</v>
      </c>
      <c r="AI543" s="23">
        <f t="shared" si="51"/>
        <v>0</v>
      </c>
      <c r="AJ543" s="44">
        <f t="shared" si="52"/>
        <v>0</v>
      </c>
      <c r="AL543" s="6">
        <f t="shared" si="53"/>
        <v>0</v>
      </c>
    </row>
    <row r="544" spans="13:38" hidden="1" x14ac:dyDescent="0.25">
      <c r="M544" s="3">
        <v>532</v>
      </c>
      <c r="N544" s="3">
        <f t="shared" si="49"/>
        <v>0</v>
      </c>
      <c r="O544" s="6">
        <f t="shared" si="50"/>
        <v>0</v>
      </c>
      <c r="P544" s="6"/>
      <c r="S544" s="23"/>
      <c r="AG544" s="3">
        <v>532</v>
      </c>
      <c r="AI544" s="23">
        <f t="shared" si="51"/>
        <v>0</v>
      </c>
      <c r="AJ544" s="44">
        <f t="shared" si="52"/>
        <v>0</v>
      </c>
      <c r="AL544" s="6">
        <f t="shared" si="53"/>
        <v>0</v>
      </c>
    </row>
    <row r="545" spans="13:38" hidden="1" x14ac:dyDescent="0.25">
      <c r="M545" s="3">
        <v>533</v>
      </c>
      <c r="N545" s="3">
        <f t="shared" si="49"/>
        <v>0</v>
      </c>
      <c r="O545" s="6">
        <f t="shared" si="50"/>
        <v>0</v>
      </c>
      <c r="P545" s="6"/>
      <c r="S545" s="23"/>
      <c r="AG545" s="3">
        <v>533</v>
      </c>
      <c r="AI545" s="23">
        <f t="shared" si="51"/>
        <v>0</v>
      </c>
      <c r="AJ545" s="44">
        <f t="shared" si="52"/>
        <v>0</v>
      </c>
      <c r="AL545" s="6">
        <f t="shared" si="53"/>
        <v>0</v>
      </c>
    </row>
    <row r="546" spans="13:38" hidden="1" x14ac:dyDescent="0.25">
      <c r="M546" s="3">
        <v>534</v>
      </c>
      <c r="N546" s="3">
        <f t="shared" si="49"/>
        <v>0</v>
      </c>
      <c r="O546" s="6">
        <f t="shared" si="50"/>
        <v>0</v>
      </c>
      <c r="P546" s="6"/>
      <c r="S546" s="23"/>
      <c r="AG546" s="3">
        <v>534</v>
      </c>
      <c r="AI546" s="23">
        <f t="shared" si="51"/>
        <v>0</v>
      </c>
      <c r="AJ546" s="44">
        <f t="shared" si="52"/>
        <v>0</v>
      </c>
      <c r="AL546" s="6">
        <f t="shared" si="53"/>
        <v>0</v>
      </c>
    </row>
    <row r="547" spans="13:38" hidden="1" x14ac:dyDescent="0.25">
      <c r="M547" s="3">
        <v>535</v>
      </c>
      <c r="N547" s="3">
        <f t="shared" si="49"/>
        <v>0</v>
      </c>
      <c r="O547" s="6">
        <f t="shared" si="50"/>
        <v>0</v>
      </c>
      <c r="P547" s="6"/>
      <c r="S547" s="23"/>
      <c r="AG547" s="3">
        <v>535</v>
      </c>
      <c r="AI547" s="23">
        <f t="shared" si="51"/>
        <v>0</v>
      </c>
      <c r="AJ547" s="44">
        <f t="shared" si="52"/>
        <v>0</v>
      </c>
      <c r="AL547" s="6">
        <f t="shared" si="53"/>
        <v>0</v>
      </c>
    </row>
    <row r="548" spans="13:38" hidden="1" x14ac:dyDescent="0.25">
      <c r="M548" s="3">
        <v>536</v>
      </c>
      <c r="N548" s="3">
        <f t="shared" si="49"/>
        <v>0</v>
      </c>
      <c r="O548" s="6">
        <f t="shared" si="50"/>
        <v>0</v>
      </c>
      <c r="P548" s="6"/>
      <c r="S548" s="23"/>
      <c r="AG548" s="3">
        <v>536</v>
      </c>
      <c r="AI548" s="23">
        <f t="shared" si="51"/>
        <v>0</v>
      </c>
      <c r="AJ548" s="44">
        <f t="shared" si="52"/>
        <v>0</v>
      </c>
      <c r="AL548" s="6">
        <f t="shared" si="53"/>
        <v>0</v>
      </c>
    </row>
    <row r="549" spans="13:38" hidden="1" x14ac:dyDescent="0.25">
      <c r="M549" s="3">
        <v>537</v>
      </c>
      <c r="N549" s="3">
        <f t="shared" si="49"/>
        <v>0</v>
      </c>
      <c r="O549" s="6">
        <f t="shared" si="50"/>
        <v>0</v>
      </c>
      <c r="P549" s="6"/>
      <c r="S549" s="23"/>
      <c r="AG549" s="3">
        <v>537</v>
      </c>
      <c r="AI549" s="23">
        <f t="shared" si="51"/>
        <v>0</v>
      </c>
      <c r="AJ549" s="44">
        <f t="shared" si="52"/>
        <v>0</v>
      </c>
      <c r="AL549" s="6">
        <f t="shared" si="53"/>
        <v>0</v>
      </c>
    </row>
    <row r="550" spans="13:38" hidden="1" x14ac:dyDescent="0.25">
      <c r="M550" s="3">
        <v>538</v>
      </c>
      <c r="N550" s="3">
        <f t="shared" si="49"/>
        <v>0</v>
      </c>
      <c r="O550" s="6">
        <f t="shared" si="50"/>
        <v>0</v>
      </c>
      <c r="P550" s="6"/>
      <c r="S550" s="23"/>
      <c r="AG550" s="3">
        <v>538</v>
      </c>
      <c r="AI550" s="23">
        <f t="shared" si="51"/>
        <v>0</v>
      </c>
      <c r="AJ550" s="44">
        <f t="shared" si="52"/>
        <v>0</v>
      </c>
      <c r="AL550" s="6">
        <f t="shared" si="53"/>
        <v>0</v>
      </c>
    </row>
    <row r="551" spans="13:38" hidden="1" x14ac:dyDescent="0.25">
      <c r="M551" s="3">
        <v>539</v>
      </c>
      <c r="N551" s="3">
        <f t="shared" si="49"/>
        <v>0</v>
      </c>
      <c r="O551" s="6">
        <f t="shared" si="50"/>
        <v>0</v>
      </c>
      <c r="P551" s="6"/>
      <c r="S551" s="23"/>
      <c r="AG551" s="3">
        <v>539</v>
      </c>
      <c r="AI551" s="23">
        <f t="shared" si="51"/>
        <v>0</v>
      </c>
      <c r="AJ551" s="44">
        <f t="shared" si="52"/>
        <v>0</v>
      </c>
      <c r="AL551" s="6">
        <f t="shared" si="53"/>
        <v>0</v>
      </c>
    </row>
    <row r="552" spans="13:38" hidden="1" x14ac:dyDescent="0.25">
      <c r="M552" s="3">
        <v>540</v>
      </c>
      <c r="N552" s="3">
        <f t="shared" si="49"/>
        <v>0</v>
      </c>
      <c r="O552" s="6">
        <f t="shared" si="50"/>
        <v>0</v>
      </c>
      <c r="P552" s="6"/>
      <c r="S552" s="23"/>
      <c r="AG552" s="3">
        <v>540</v>
      </c>
      <c r="AI552" s="23">
        <f t="shared" si="51"/>
        <v>0</v>
      </c>
      <c r="AJ552" s="44">
        <f t="shared" si="52"/>
        <v>0</v>
      </c>
      <c r="AL552" s="6">
        <f t="shared" si="53"/>
        <v>0</v>
      </c>
    </row>
    <row r="553" spans="13:38" hidden="1" x14ac:dyDescent="0.25">
      <c r="M553" s="3">
        <v>541</v>
      </c>
      <c r="N553" s="3">
        <f t="shared" si="49"/>
        <v>0</v>
      </c>
      <c r="O553" s="6">
        <f t="shared" si="50"/>
        <v>0</v>
      </c>
      <c r="P553" s="6"/>
      <c r="S553" s="23"/>
      <c r="AG553" s="3">
        <v>541</v>
      </c>
      <c r="AI553" s="23">
        <f t="shared" si="51"/>
        <v>0</v>
      </c>
      <c r="AJ553" s="44">
        <f t="shared" si="52"/>
        <v>0</v>
      </c>
      <c r="AL553" s="6">
        <f t="shared" si="53"/>
        <v>0</v>
      </c>
    </row>
    <row r="554" spans="13:38" hidden="1" x14ac:dyDescent="0.25">
      <c r="M554" s="3">
        <v>542</v>
      </c>
      <c r="N554" s="3">
        <f t="shared" si="49"/>
        <v>0</v>
      </c>
      <c r="O554" s="6">
        <f t="shared" si="50"/>
        <v>0</v>
      </c>
      <c r="P554" s="6"/>
      <c r="S554" s="23"/>
      <c r="AG554" s="3">
        <v>542</v>
      </c>
      <c r="AI554" s="23">
        <f t="shared" si="51"/>
        <v>0</v>
      </c>
      <c r="AJ554" s="44">
        <f t="shared" si="52"/>
        <v>0</v>
      </c>
      <c r="AL554" s="6">
        <f t="shared" si="53"/>
        <v>0</v>
      </c>
    </row>
    <row r="555" spans="13:38" hidden="1" x14ac:dyDescent="0.25">
      <c r="M555" s="3">
        <v>543</v>
      </c>
      <c r="N555" s="3">
        <f t="shared" si="49"/>
        <v>0</v>
      </c>
      <c r="O555" s="6">
        <f t="shared" si="50"/>
        <v>0</v>
      </c>
      <c r="P555" s="6"/>
      <c r="S555" s="23"/>
      <c r="AG555" s="3">
        <v>543</v>
      </c>
      <c r="AI555" s="23">
        <f t="shared" si="51"/>
        <v>0</v>
      </c>
      <c r="AJ555" s="44">
        <f t="shared" si="52"/>
        <v>0</v>
      </c>
      <c r="AL555" s="6">
        <f t="shared" si="53"/>
        <v>0</v>
      </c>
    </row>
    <row r="556" spans="13:38" hidden="1" x14ac:dyDescent="0.25">
      <c r="M556" s="3">
        <v>544</v>
      </c>
      <c r="N556" s="3">
        <f t="shared" si="49"/>
        <v>0</v>
      </c>
      <c r="O556" s="6">
        <f t="shared" si="50"/>
        <v>0</v>
      </c>
      <c r="P556" s="6"/>
      <c r="S556" s="23"/>
      <c r="AG556" s="3">
        <v>544</v>
      </c>
      <c r="AI556" s="23">
        <f t="shared" si="51"/>
        <v>0</v>
      </c>
      <c r="AJ556" s="44">
        <f t="shared" si="52"/>
        <v>0</v>
      </c>
      <c r="AL556" s="6">
        <f t="shared" si="53"/>
        <v>0</v>
      </c>
    </row>
    <row r="557" spans="13:38" hidden="1" x14ac:dyDescent="0.25">
      <c r="M557" s="3">
        <v>545</v>
      </c>
      <c r="N557" s="3">
        <f t="shared" si="49"/>
        <v>0</v>
      </c>
      <c r="O557" s="6">
        <f t="shared" si="50"/>
        <v>0</v>
      </c>
      <c r="P557" s="6"/>
      <c r="S557" s="23"/>
      <c r="AG557" s="3">
        <v>545</v>
      </c>
      <c r="AI557" s="23">
        <f t="shared" si="51"/>
        <v>0</v>
      </c>
      <c r="AJ557" s="44">
        <f t="shared" si="52"/>
        <v>0</v>
      </c>
      <c r="AL557" s="6">
        <f t="shared" si="53"/>
        <v>0</v>
      </c>
    </row>
    <row r="558" spans="13:38" hidden="1" x14ac:dyDescent="0.25">
      <c r="M558" s="3">
        <v>546</v>
      </c>
      <c r="N558" s="3">
        <f t="shared" si="49"/>
        <v>0</v>
      </c>
      <c r="O558" s="6">
        <f t="shared" si="50"/>
        <v>0</v>
      </c>
      <c r="P558" s="6"/>
      <c r="S558" s="23"/>
      <c r="AG558" s="3">
        <v>546</v>
      </c>
      <c r="AI558" s="23">
        <f t="shared" si="51"/>
        <v>0</v>
      </c>
      <c r="AJ558" s="44">
        <f t="shared" si="52"/>
        <v>0</v>
      </c>
      <c r="AL558" s="6">
        <f t="shared" si="53"/>
        <v>0</v>
      </c>
    </row>
    <row r="559" spans="13:38" hidden="1" x14ac:dyDescent="0.25">
      <c r="M559" s="3">
        <v>547</v>
      </c>
      <c r="N559" s="3">
        <f t="shared" si="49"/>
        <v>0</v>
      </c>
      <c r="O559" s="6">
        <f t="shared" si="50"/>
        <v>0</v>
      </c>
      <c r="P559" s="6"/>
      <c r="S559" s="23"/>
      <c r="AG559" s="3">
        <v>547</v>
      </c>
      <c r="AI559" s="23">
        <f t="shared" si="51"/>
        <v>0</v>
      </c>
      <c r="AJ559" s="44">
        <f t="shared" si="52"/>
        <v>0</v>
      </c>
      <c r="AL559" s="6">
        <f t="shared" si="53"/>
        <v>0</v>
      </c>
    </row>
    <row r="560" spans="13:38" hidden="1" x14ac:dyDescent="0.25">
      <c r="M560" s="3">
        <v>548</v>
      </c>
      <c r="N560" s="3">
        <f t="shared" si="49"/>
        <v>0</v>
      </c>
      <c r="O560" s="6">
        <f t="shared" si="50"/>
        <v>0</v>
      </c>
      <c r="P560" s="6"/>
      <c r="S560" s="23"/>
      <c r="AG560" s="3">
        <v>548</v>
      </c>
      <c r="AI560" s="23">
        <f t="shared" si="51"/>
        <v>0</v>
      </c>
      <c r="AJ560" s="44">
        <f t="shared" si="52"/>
        <v>0</v>
      </c>
      <c r="AL560" s="6">
        <f t="shared" si="53"/>
        <v>0</v>
      </c>
    </row>
    <row r="561" spans="13:38" hidden="1" x14ac:dyDescent="0.25">
      <c r="M561" s="3">
        <v>549</v>
      </c>
      <c r="N561" s="3">
        <f t="shared" si="49"/>
        <v>0</v>
      </c>
      <c r="O561" s="6">
        <f t="shared" si="50"/>
        <v>0</v>
      </c>
      <c r="P561" s="6"/>
      <c r="S561" s="23"/>
      <c r="AG561" s="3">
        <v>549</v>
      </c>
      <c r="AI561" s="23">
        <f t="shared" si="51"/>
        <v>0</v>
      </c>
      <c r="AJ561" s="44">
        <f t="shared" si="52"/>
        <v>0</v>
      </c>
      <c r="AL561" s="6">
        <f t="shared" si="53"/>
        <v>0</v>
      </c>
    </row>
    <row r="562" spans="13:38" hidden="1" x14ac:dyDescent="0.25">
      <c r="M562" s="3">
        <v>550</v>
      </c>
      <c r="N562" s="3">
        <f t="shared" si="49"/>
        <v>0</v>
      </c>
      <c r="O562" s="6">
        <f t="shared" si="50"/>
        <v>0</v>
      </c>
      <c r="P562" s="6"/>
      <c r="S562" s="23"/>
      <c r="AG562" s="3">
        <v>550</v>
      </c>
      <c r="AI562" s="23">
        <f t="shared" si="51"/>
        <v>0</v>
      </c>
      <c r="AJ562" s="44">
        <f t="shared" si="52"/>
        <v>0</v>
      </c>
      <c r="AL562" s="6">
        <f t="shared" si="53"/>
        <v>0</v>
      </c>
    </row>
    <row r="563" spans="13:38" hidden="1" x14ac:dyDescent="0.25">
      <c r="M563" s="3">
        <v>551</v>
      </c>
      <c r="N563" s="3">
        <f t="shared" si="49"/>
        <v>0</v>
      </c>
      <c r="O563" s="6">
        <f t="shared" si="50"/>
        <v>0</v>
      </c>
      <c r="P563" s="6"/>
      <c r="S563" s="23"/>
      <c r="AG563" s="3">
        <v>551</v>
      </c>
      <c r="AI563" s="23">
        <f t="shared" si="51"/>
        <v>0</v>
      </c>
      <c r="AJ563" s="44">
        <f t="shared" si="52"/>
        <v>0</v>
      </c>
      <c r="AL563" s="6">
        <f t="shared" si="53"/>
        <v>0</v>
      </c>
    </row>
    <row r="564" spans="13:38" hidden="1" x14ac:dyDescent="0.25">
      <c r="M564" s="3">
        <v>552</v>
      </c>
      <c r="N564" s="3">
        <f t="shared" si="49"/>
        <v>0</v>
      </c>
      <c r="O564" s="6">
        <f t="shared" si="50"/>
        <v>0</v>
      </c>
      <c r="P564" s="6"/>
      <c r="S564" s="23"/>
      <c r="AG564" s="3">
        <v>552</v>
      </c>
      <c r="AI564" s="23">
        <f t="shared" si="51"/>
        <v>0</v>
      </c>
      <c r="AJ564" s="44">
        <f t="shared" si="52"/>
        <v>0</v>
      </c>
      <c r="AL564" s="6">
        <f t="shared" si="53"/>
        <v>0</v>
      </c>
    </row>
    <row r="565" spans="13:38" hidden="1" x14ac:dyDescent="0.25">
      <c r="M565" s="3">
        <v>553</v>
      </c>
      <c r="N565" s="3">
        <f t="shared" si="49"/>
        <v>0</v>
      </c>
      <c r="O565" s="6">
        <f t="shared" si="50"/>
        <v>0</v>
      </c>
      <c r="P565" s="6"/>
      <c r="S565" s="23"/>
      <c r="AG565" s="3">
        <v>553</v>
      </c>
      <c r="AI565" s="23">
        <f t="shared" si="51"/>
        <v>0</v>
      </c>
      <c r="AJ565" s="44">
        <f t="shared" si="52"/>
        <v>0</v>
      </c>
      <c r="AL565" s="6">
        <f t="shared" si="53"/>
        <v>0</v>
      </c>
    </row>
    <row r="566" spans="13:38" hidden="1" x14ac:dyDescent="0.25">
      <c r="M566" s="3">
        <v>554</v>
      </c>
      <c r="N566" s="3">
        <f t="shared" si="49"/>
        <v>0</v>
      </c>
      <c r="O566" s="6">
        <f t="shared" si="50"/>
        <v>0</v>
      </c>
      <c r="P566" s="6"/>
      <c r="S566" s="23"/>
      <c r="AG566" s="3">
        <v>554</v>
      </c>
      <c r="AI566" s="23">
        <f t="shared" si="51"/>
        <v>0</v>
      </c>
      <c r="AJ566" s="44">
        <f t="shared" si="52"/>
        <v>0</v>
      </c>
      <c r="AL566" s="6">
        <f t="shared" si="53"/>
        <v>0</v>
      </c>
    </row>
    <row r="567" spans="13:38" hidden="1" x14ac:dyDescent="0.25">
      <c r="M567" s="3">
        <v>555</v>
      </c>
      <c r="N567" s="3">
        <f t="shared" si="49"/>
        <v>0</v>
      </c>
      <c r="O567" s="6">
        <f t="shared" si="50"/>
        <v>0</v>
      </c>
      <c r="P567" s="6"/>
      <c r="S567" s="23"/>
      <c r="AG567" s="3">
        <v>555</v>
      </c>
      <c r="AI567" s="23">
        <f t="shared" si="51"/>
        <v>0</v>
      </c>
      <c r="AJ567" s="44">
        <f t="shared" si="52"/>
        <v>0</v>
      </c>
      <c r="AL567" s="6">
        <f t="shared" si="53"/>
        <v>0</v>
      </c>
    </row>
    <row r="568" spans="13:38" hidden="1" x14ac:dyDescent="0.25">
      <c r="M568" s="3">
        <v>556</v>
      </c>
      <c r="N568" s="3">
        <f t="shared" si="49"/>
        <v>0</v>
      </c>
      <c r="O568" s="6">
        <f t="shared" si="50"/>
        <v>0</v>
      </c>
      <c r="P568" s="6"/>
      <c r="S568" s="23"/>
      <c r="AG568" s="3">
        <v>556</v>
      </c>
      <c r="AI568" s="23">
        <f t="shared" si="51"/>
        <v>0</v>
      </c>
      <c r="AJ568" s="44">
        <f t="shared" si="52"/>
        <v>0</v>
      </c>
      <c r="AL568" s="6">
        <f t="shared" si="53"/>
        <v>0</v>
      </c>
    </row>
    <row r="569" spans="13:38" hidden="1" x14ac:dyDescent="0.25">
      <c r="M569" s="3">
        <v>557</v>
      </c>
      <c r="N569" s="3">
        <f t="shared" si="49"/>
        <v>0</v>
      </c>
      <c r="O569" s="6">
        <f t="shared" si="50"/>
        <v>0</v>
      </c>
      <c r="P569" s="6"/>
      <c r="S569" s="23"/>
      <c r="AG569" s="3">
        <v>557</v>
      </c>
      <c r="AI569" s="23">
        <f t="shared" si="51"/>
        <v>0</v>
      </c>
      <c r="AJ569" s="44">
        <f t="shared" si="52"/>
        <v>0</v>
      </c>
      <c r="AL569" s="6">
        <f t="shared" si="53"/>
        <v>0</v>
      </c>
    </row>
    <row r="570" spans="13:38" hidden="1" x14ac:dyDescent="0.25">
      <c r="M570" s="3">
        <v>558</v>
      </c>
      <c r="N570" s="3">
        <f t="shared" si="49"/>
        <v>0</v>
      </c>
      <c r="O570" s="6">
        <f t="shared" si="50"/>
        <v>0</v>
      </c>
      <c r="P570" s="6"/>
      <c r="S570" s="23"/>
      <c r="AG570" s="3">
        <v>558</v>
      </c>
      <c r="AI570" s="23">
        <f t="shared" si="51"/>
        <v>0</v>
      </c>
      <c r="AJ570" s="44">
        <f t="shared" si="52"/>
        <v>0</v>
      </c>
      <c r="AL570" s="6">
        <f t="shared" si="53"/>
        <v>0</v>
      </c>
    </row>
    <row r="571" spans="13:38" hidden="1" x14ac:dyDescent="0.25">
      <c r="M571" s="3">
        <v>559</v>
      </c>
      <c r="N571" s="3">
        <f t="shared" si="49"/>
        <v>0</v>
      </c>
      <c r="O571" s="6">
        <f t="shared" si="50"/>
        <v>0</v>
      </c>
      <c r="P571" s="6"/>
      <c r="S571" s="23"/>
      <c r="AG571" s="3">
        <v>559</v>
      </c>
      <c r="AI571" s="23">
        <f t="shared" si="51"/>
        <v>0</v>
      </c>
      <c r="AJ571" s="44">
        <f t="shared" si="52"/>
        <v>0</v>
      </c>
      <c r="AL571" s="6">
        <f t="shared" si="53"/>
        <v>0</v>
      </c>
    </row>
    <row r="572" spans="13:38" hidden="1" x14ac:dyDescent="0.25">
      <c r="M572" s="3">
        <v>560</v>
      </c>
      <c r="N572" s="3">
        <f t="shared" si="49"/>
        <v>0</v>
      </c>
      <c r="O572" s="6">
        <f t="shared" si="50"/>
        <v>0</v>
      </c>
      <c r="P572" s="6"/>
      <c r="S572" s="23"/>
      <c r="AG572" s="3">
        <v>560</v>
      </c>
      <c r="AI572" s="23">
        <f t="shared" si="51"/>
        <v>0</v>
      </c>
      <c r="AJ572" s="44">
        <f t="shared" si="52"/>
        <v>0</v>
      </c>
      <c r="AL572" s="6">
        <f t="shared" si="53"/>
        <v>0</v>
      </c>
    </row>
    <row r="573" spans="13:38" hidden="1" x14ac:dyDescent="0.25">
      <c r="M573" s="3">
        <v>561</v>
      </c>
      <c r="N573" s="3">
        <f t="shared" si="49"/>
        <v>0</v>
      </c>
      <c r="O573" s="6">
        <f t="shared" si="50"/>
        <v>0</v>
      </c>
      <c r="P573" s="6"/>
      <c r="S573" s="23"/>
      <c r="AG573" s="3">
        <v>561</v>
      </c>
      <c r="AI573" s="23">
        <f t="shared" si="51"/>
        <v>0</v>
      </c>
      <c r="AJ573" s="44">
        <f t="shared" si="52"/>
        <v>0</v>
      </c>
      <c r="AL573" s="6">
        <f t="shared" si="53"/>
        <v>0</v>
      </c>
    </row>
    <row r="574" spans="13:38" hidden="1" x14ac:dyDescent="0.25">
      <c r="M574" s="3">
        <v>562</v>
      </c>
      <c r="N574" s="3">
        <f t="shared" si="49"/>
        <v>0</v>
      </c>
      <c r="O574" s="6">
        <f t="shared" si="50"/>
        <v>0</v>
      </c>
      <c r="P574" s="6"/>
      <c r="S574" s="23"/>
      <c r="AG574" s="3">
        <v>562</v>
      </c>
      <c r="AI574" s="23">
        <f t="shared" si="51"/>
        <v>0</v>
      </c>
      <c r="AJ574" s="44">
        <f t="shared" si="52"/>
        <v>0</v>
      </c>
      <c r="AL574" s="6">
        <f t="shared" si="53"/>
        <v>0</v>
      </c>
    </row>
    <row r="575" spans="13:38" hidden="1" x14ac:dyDescent="0.25">
      <c r="M575" s="3">
        <v>563</v>
      </c>
      <c r="N575" s="3">
        <f t="shared" si="49"/>
        <v>0</v>
      </c>
      <c r="O575" s="6">
        <f t="shared" si="50"/>
        <v>0</v>
      </c>
      <c r="P575" s="6"/>
      <c r="S575" s="23"/>
      <c r="AG575" s="3">
        <v>563</v>
      </c>
      <c r="AI575" s="23">
        <f t="shared" si="51"/>
        <v>0</v>
      </c>
      <c r="AJ575" s="44">
        <f t="shared" si="52"/>
        <v>0</v>
      </c>
      <c r="AL575" s="6">
        <f t="shared" si="53"/>
        <v>0</v>
      </c>
    </row>
    <row r="576" spans="13:38" hidden="1" x14ac:dyDescent="0.25">
      <c r="M576" s="3">
        <v>564</v>
      </c>
      <c r="N576" s="3">
        <f t="shared" si="49"/>
        <v>0</v>
      </c>
      <c r="O576" s="6">
        <f t="shared" si="50"/>
        <v>0</v>
      </c>
      <c r="P576" s="6"/>
      <c r="S576" s="23"/>
      <c r="AG576" s="3">
        <v>564</v>
      </c>
      <c r="AI576" s="23">
        <f t="shared" si="51"/>
        <v>0</v>
      </c>
      <c r="AJ576" s="44">
        <f t="shared" si="52"/>
        <v>0</v>
      </c>
      <c r="AL576" s="6">
        <f t="shared" si="53"/>
        <v>0</v>
      </c>
    </row>
    <row r="577" spans="13:38" hidden="1" x14ac:dyDescent="0.25">
      <c r="M577" s="3">
        <v>565</v>
      </c>
      <c r="N577" s="3">
        <f t="shared" si="49"/>
        <v>0</v>
      </c>
      <c r="O577" s="6">
        <f t="shared" si="50"/>
        <v>0</v>
      </c>
      <c r="P577" s="6"/>
      <c r="S577" s="23"/>
      <c r="AG577" s="3">
        <v>565</v>
      </c>
      <c r="AI577" s="23">
        <f t="shared" si="51"/>
        <v>0</v>
      </c>
      <c r="AJ577" s="44">
        <f t="shared" si="52"/>
        <v>0</v>
      </c>
      <c r="AL577" s="6">
        <f t="shared" si="53"/>
        <v>0</v>
      </c>
    </row>
    <row r="578" spans="13:38" hidden="1" x14ac:dyDescent="0.25">
      <c r="M578" s="3">
        <v>566</v>
      </c>
      <c r="N578" s="3">
        <f t="shared" si="49"/>
        <v>0</v>
      </c>
      <c r="O578" s="6">
        <f t="shared" si="50"/>
        <v>0</v>
      </c>
      <c r="P578" s="6"/>
      <c r="S578" s="23"/>
      <c r="AG578" s="3">
        <v>566</v>
      </c>
      <c r="AI578" s="23">
        <f t="shared" si="51"/>
        <v>0</v>
      </c>
      <c r="AJ578" s="44">
        <f t="shared" si="52"/>
        <v>0</v>
      </c>
      <c r="AL578" s="6">
        <f t="shared" si="53"/>
        <v>0</v>
      </c>
    </row>
    <row r="579" spans="13:38" hidden="1" x14ac:dyDescent="0.25">
      <c r="M579" s="3">
        <v>567</v>
      </c>
      <c r="N579" s="3">
        <f t="shared" si="49"/>
        <v>0</v>
      </c>
      <c r="O579" s="6">
        <f t="shared" si="50"/>
        <v>0</v>
      </c>
      <c r="P579" s="6"/>
      <c r="S579" s="23"/>
      <c r="AG579" s="3">
        <v>567</v>
      </c>
      <c r="AI579" s="23">
        <f t="shared" si="51"/>
        <v>0</v>
      </c>
      <c r="AJ579" s="44">
        <f t="shared" si="52"/>
        <v>0</v>
      </c>
      <c r="AL579" s="6">
        <f t="shared" si="53"/>
        <v>0</v>
      </c>
    </row>
    <row r="580" spans="13:38" hidden="1" x14ac:dyDescent="0.25">
      <c r="M580" s="3">
        <v>568</v>
      </c>
      <c r="N580" s="3">
        <f t="shared" si="49"/>
        <v>0</v>
      </c>
      <c r="O580" s="6">
        <f t="shared" si="50"/>
        <v>0</v>
      </c>
      <c r="P580" s="6"/>
      <c r="S580" s="23"/>
      <c r="AG580" s="3">
        <v>568</v>
      </c>
      <c r="AI580" s="23">
        <f t="shared" si="51"/>
        <v>0</v>
      </c>
      <c r="AJ580" s="44">
        <f t="shared" si="52"/>
        <v>0</v>
      </c>
      <c r="AL580" s="6">
        <f t="shared" si="53"/>
        <v>0</v>
      </c>
    </row>
    <row r="581" spans="13:38" hidden="1" x14ac:dyDescent="0.25">
      <c r="M581" s="3">
        <v>569</v>
      </c>
      <c r="N581" s="3">
        <f t="shared" si="49"/>
        <v>0</v>
      </c>
      <c r="O581" s="6">
        <f t="shared" si="50"/>
        <v>0</v>
      </c>
      <c r="P581" s="6"/>
      <c r="S581" s="23"/>
      <c r="AG581" s="3">
        <v>569</v>
      </c>
      <c r="AI581" s="23">
        <f t="shared" si="51"/>
        <v>0</v>
      </c>
      <c r="AJ581" s="44">
        <f t="shared" si="52"/>
        <v>0</v>
      </c>
      <c r="AL581" s="6">
        <f t="shared" si="53"/>
        <v>0</v>
      </c>
    </row>
    <row r="582" spans="13:38" hidden="1" x14ac:dyDescent="0.25">
      <c r="M582" s="3">
        <v>570</v>
      </c>
      <c r="N582" s="3">
        <f t="shared" si="49"/>
        <v>0</v>
      </c>
      <c r="O582" s="6">
        <f t="shared" si="50"/>
        <v>0</v>
      </c>
      <c r="P582" s="6"/>
      <c r="S582" s="23"/>
      <c r="AG582" s="3">
        <v>570</v>
      </c>
      <c r="AI582" s="23">
        <f t="shared" si="51"/>
        <v>0</v>
      </c>
      <c r="AJ582" s="44">
        <f t="shared" si="52"/>
        <v>0</v>
      </c>
      <c r="AL582" s="6">
        <f t="shared" si="53"/>
        <v>0</v>
      </c>
    </row>
    <row r="583" spans="13:38" hidden="1" x14ac:dyDescent="0.25">
      <c r="M583" s="3">
        <v>571</v>
      </c>
      <c r="N583" s="3">
        <f t="shared" si="49"/>
        <v>0</v>
      </c>
      <c r="O583" s="6">
        <f t="shared" si="50"/>
        <v>0</v>
      </c>
      <c r="P583" s="6"/>
      <c r="S583" s="23"/>
      <c r="AG583" s="3">
        <v>571</v>
      </c>
      <c r="AI583" s="23">
        <f t="shared" si="51"/>
        <v>0</v>
      </c>
      <c r="AJ583" s="44">
        <f t="shared" si="52"/>
        <v>0</v>
      </c>
      <c r="AL583" s="6">
        <f t="shared" si="53"/>
        <v>0</v>
      </c>
    </row>
    <row r="584" spans="13:38" hidden="1" x14ac:dyDescent="0.25">
      <c r="M584" s="3">
        <v>572</v>
      </c>
      <c r="N584" s="3">
        <f t="shared" si="49"/>
        <v>0</v>
      </c>
      <c r="O584" s="6">
        <f t="shared" si="50"/>
        <v>0</v>
      </c>
      <c r="P584" s="6"/>
      <c r="S584" s="23"/>
      <c r="AG584" s="3">
        <v>572</v>
      </c>
      <c r="AI584" s="23">
        <f t="shared" si="51"/>
        <v>0</v>
      </c>
      <c r="AJ584" s="44">
        <f t="shared" si="52"/>
        <v>0</v>
      </c>
      <c r="AL584" s="6">
        <f t="shared" si="53"/>
        <v>0</v>
      </c>
    </row>
    <row r="585" spans="13:38" hidden="1" x14ac:dyDescent="0.25">
      <c r="M585" s="3">
        <v>573</v>
      </c>
      <c r="N585" s="3">
        <f t="shared" si="49"/>
        <v>0</v>
      </c>
      <c r="O585" s="6">
        <f t="shared" si="50"/>
        <v>0</v>
      </c>
      <c r="P585" s="6"/>
      <c r="S585" s="23"/>
      <c r="AG585" s="3">
        <v>573</v>
      </c>
      <c r="AI585" s="23">
        <f t="shared" si="51"/>
        <v>0</v>
      </c>
      <c r="AJ585" s="44">
        <f t="shared" si="52"/>
        <v>0</v>
      </c>
      <c r="AL585" s="6">
        <f t="shared" si="53"/>
        <v>0</v>
      </c>
    </row>
    <row r="586" spans="13:38" hidden="1" x14ac:dyDescent="0.25">
      <c r="M586" s="3">
        <v>574</v>
      </c>
      <c r="N586" s="3">
        <f t="shared" si="49"/>
        <v>0</v>
      </c>
      <c r="O586" s="6">
        <f t="shared" si="50"/>
        <v>0</v>
      </c>
      <c r="P586" s="6"/>
      <c r="S586" s="23"/>
      <c r="AG586" s="3">
        <v>574</v>
      </c>
      <c r="AI586" s="23">
        <f t="shared" si="51"/>
        <v>0</v>
      </c>
      <c r="AJ586" s="44">
        <f t="shared" si="52"/>
        <v>0</v>
      </c>
      <c r="AL586" s="6">
        <f t="shared" si="53"/>
        <v>0</v>
      </c>
    </row>
    <row r="587" spans="13:38" hidden="1" x14ac:dyDescent="0.25">
      <c r="M587" s="3">
        <v>575</v>
      </c>
      <c r="N587" s="3">
        <f t="shared" si="49"/>
        <v>0</v>
      </c>
      <c r="O587" s="6">
        <f t="shared" si="50"/>
        <v>0</v>
      </c>
      <c r="P587" s="6"/>
      <c r="S587" s="23"/>
      <c r="AG587" s="3">
        <v>575</v>
      </c>
      <c r="AI587" s="23">
        <f t="shared" si="51"/>
        <v>0</v>
      </c>
      <c r="AJ587" s="44">
        <f t="shared" si="52"/>
        <v>0</v>
      </c>
      <c r="AL587" s="6">
        <f t="shared" si="53"/>
        <v>0</v>
      </c>
    </row>
    <row r="588" spans="13:38" hidden="1" x14ac:dyDescent="0.25">
      <c r="M588" s="3">
        <v>576</v>
      </c>
      <c r="N588" s="3">
        <f t="shared" si="49"/>
        <v>0</v>
      </c>
      <c r="O588" s="6">
        <f t="shared" si="50"/>
        <v>0</v>
      </c>
      <c r="P588" s="6"/>
      <c r="S588" s="23"/>
      <c r="AG588" s="3">
        <v>576</v>
      </c>
      <c r="AI588" s="23">
        <f t="shared" si="51"/>
        <v>0</v>
      </c>
      <c r="AJ588" s="44">
        <f t="shared" si="52"/>
        <v>0</v>
      </c>
      <c r="AL588" s="6">
        <f t="shared" si="53"/>
        <v>0</v>
      </c>
    </row>
    <row r="589" spans="13:38" hidden="1" x14ac:dyDescent="0.25">
      <c r="M589" s="3">
        <v>577</v>
      </c>
      <c r="N589" s="3">
        <f t="shared" ref="N589:N612" si="54">IF(M589&lt;=IF($T$6=1,$O$8,ROUNDUP($J$8,0)),SIPAmount,0)</f>
        <v>0</v>
      </c>
      <c r="O589" s="6">
        <f t="shared" ref="O589:O612" si="55">FV(SIPRate,M589,-N589,0,1)</f>
        <v>0</v>
      </c>
      <c r="P589" s="6"/>
      <c r="S589" s="23"/>
      <c r="AG589" s="3">
        <v>577</v>
      </c>
      <c r="AI589" s="23">
        <f t="shared" si="51"/>
        <v>0</v>
      </c>
      <c r="AJ589" s="44">
        <f t="shared" si="52"/>
        <v>0</v>
      </c>
      <c r="AL589" s="6">
        <f t="shared" si="53"/>
        <v>0</v>
      </c>
    </row>
    <row r="590" spans="13:38" hidden="1" x14ac:dyDescent="0.25">
      <c r="M590" s="3">
        <v>578</v>
      </c>
      <c r="N590" s="3">
        <f t="shared" si="54"/>
        <v>0</v>
      </c>
      <c r="O590" s="6">
        <f t="shared" si="55"/>
        <v>0</v>
      </c>
      <c r="P590" s="6"/>
      <c r="S590" s="23"/>
      <c r="AG590" s="3">
        <v>578</v>
      </c>
      <c r="AI590" s="23">
        <f t="shared" ref="AI590:AI612" si="56">IF(AG590&lt;=$O$8,FV($O$3,AG590,-$O$5,0,1),0)</f>
        <v>0</v>
      </c>
      <c r="AJ590" s="44">
        <f t="shared" ref="AJ590:AJ612" si="57">IF(OR(AJ589=0,AJ589&gt;=$C$15),0,FV($O$3,AG590,-$C$17,0,1))</f>
        <v>0</v>
      </c>
      <c r="AL590" s="6">
        <f t="shared" ref="AL590:AL612" si="58">O590</f>
        <v>0</v>
      </c>
    </row>
    <row r="591" spans="13:38" hidden="1" x14ac:dyDescent="0.25">
      <c r="M591" s="3">
        <v>579</v>
      </c>
      <c r="N591" s="3">
        <f t="shared" si="54"/>
        <v>0</v>
      </c>
      <c r="O591" s="6">
        <f t="shared" si="55"/>
        <v>0</v>
      </c>
      <c r="P591" s="6"/>
      <c r="S591" s="23"/>
      <c r="AG591" s="3">
        <v>579</v>
      </c>
      <c r="AI591" s="23">
        <f t="shared" si="56"/>
        <v>0</v>
      </c>
      <c r="AJ591" s="44">
        <f t="shared" si="57"/>
        <v>0</v>
      </c>
      <c r="AL591" s="6">
        <f t="shared" si="58"/>
        <v>0</v>
      </c>
    </row>
    <row r="592" spans="13:38" hidden="1" x14ac:dyDescent="0.25">
      <c r="M592" s="3">
        <v>580</v>
      </c>
      <c r="N592" s="3">
        <f t="shared" si="54"/>
        <v>0</v>
      </c>
      <c r="O592" s="6">
        <f t="shared" si="55"/>
        <v>0</v>
      </c>
      <c r="P592" s="6"/>
      <c r="S592" s="23"/>
      <c r="AG592" s="3">
        <v>580</v>
      </c>
      <c r="AI592" s="23">
        <f t="shared" si="56"/>
        <v>0</v>
      </c>
      <c r="AJ592" s="44">
        <f t="shared" si="57"/>
        <v>0</v>
      </c>
      <c r="AL592" s="6">
        <f t="shared" si="58"/>
        <v>0</v>
      </c>
    </row>
    <row r="593" spans="13:38" hidden="1" x14ac:dyDescent="0.25">
      <c r="M593" s="3">
        <v>581</v>
      </c>
      <c r="N593" s="3">
        <f t="shared" si="54"/>
        <v>0</v>
      </c>
      <c r="O593" s="6">
        <f t="shared" si="55"/>
        <v>0</v>
      </c>
      <c r="P593" s="6"/>
      <c r="S593" s="23"/>
      <c r="AG593" s="3">
        <v>581</v>
      </c>
      <c r="AI593" s="23">
        <f t="shared" si="56"/>
        <v>0</v>
      </c>
      <c r="AJ593" s="44">
        <f t="shared" si="57"/>
        <v>0</v>
      </c>
      <c r="AL593" s="6">
        <f t="shared" si="58"/>
        <v>0</v>
      </c>
    </row>
    <row r="594" spans="13:38" hidden="1" x14ac:dyDescent="0.25">
      <c r="M594" s="3">
        <v>582</v>
      </c>
      <c r="N594" s="3">
        <f t="shared" si="54"/>
        <v>0</v>
      </c>
      <c r="O594" s="6">
        <f t="shared" si="55"/>
        <v>0</v>
      </c>
      <c r="P594" s="6"/>
      <c r="S594" s="23"/>
      <c r="AG594" s="3">
        <v>582</v>
      </c>
      <c r="AI594" s="23">
        <f t="shared" si="56"/>
        <v>0</v>
      </c>
      <c r="AJ594" s="44">
        <f t="shared" si="57"/>
        <v>0</v>
      </c>
      <c r="AL594" s="6">
        <f t="shared" si="58"/>
        <v>0</v>
      </c>
    </row>
    <row r="595" spans="13:38" hidden="1" x14ac:dyDescent="0.25">
      <c r="M595" s="3">
        <v>583</v>
      </c>
      <c r="N595" s="3">
        <f t="shared" si="54"/>
        <v>0</v>
      </c>
      <c r="O595" s="6">
        <f t="shared" si="55"/>
        <v>0</v>
      </c>
      <c r="P595" s="6"/>
      <c r="S595" s="23"/>
      <c r="AG595" s="3">
        <v>583</v>
      </c>
      <c r="AI595" s="23">
        <f t="shared" si="56"/>
        <v>0</v>
      </c>
      <c r="AJ595" s="44">
        <f t="shared" si="57"/>
        <v>0</v>
      </c>
      <c r="AL595" s="6">
        <f t="shared" si="58"/>
        <v>0</v>
      </c>
    </row>
    <row r="596" spans="13:38" hidden="1" x14ac:dyDescent="0.25">
      <c r="M596" s="3">
        <v>584</v>
      </c>
      <c r="N596" s="3">
        <f t="shared" si="54"/>
        <v>0</v>
      </c>
      <c r="O596" s="6">
        <f t="shared" si="55"/>
        <v>0</v>
      </c>
      <c r="P596" s="6"/>
      <c r="S596" s="23"/>
      <c r="AG596" s="3">
        <v>584</v>
      </c>
      <c r="AI596" s="23">
        <f t="shared" si="56"/>
        <v>0</v>
      </c>
      <c r="AJ596" s="44">
        <f t="shared" si="57"/>
        <v>0</v>
      </c>
      <c r="AL596" s="6">
        <f t="shared" si="58"/>
        <v>0</v>
      </c>
    </row>
    <row r="597" spans="13:38" hidden="1" x14ac:dyDescent="0.25">
      <c r="M597" s="3">
        <v>585</v>
      </c>
      <c r="N597" s="3">
        <f t="shared" si="54"/>
        <v>0</v>
      </c>
      <c r="O597" s="6">
        <f t="shared" si="55"/>
        <v>0</v>
      </c>
      <c r="P597" s="6"/>
      <c r="S597" s="23"/>
      <c r="AG597" s="3">
        <v>585</v>
      </c>
      <c r="AI597" s="23">
        <f t="shared" si="56"/>
        <v>0</v>
      </c>
      <c r="AJ597" s="44">
        <f t="shared" si="57"/>
        <v>0</v>
      </c>
      <c r="AL597" s="6">
        <f t="shared" si="58"/>
        <v>0</v>
      </c>
    </row>
    <row r="598" spans="13:38" hidden="1" x14ac:dyDescent="0.25">
      <c r="M598" s="3">
        <v>586</v>
      </c>
      <c r="N598" s="3">
        <f t="shared" si="54"/>
        <v>0</v>
      </c>
      <c r="O598" s="6">
        <f t="shared" si="55"/>
        <v>0</v>
      </c>
      <c r="P598" s="6"/>
      <c r="S598" s="23"/>
      <c r="AG598" s="3">
        <v>586</v>
      </c>
      <c r="AI598" s="23">
        <f t="shared" si="56"/>
        <v>0</v>
      </c>
      <c r="AJ598" s="44">
        <f t="shared" si="57"/>
        <v>0</v>
      </c>
      <c r="AL598" s="6">
        <f t="shared" si="58"/>
        <v>0</v>
      </c>
    </row>
    <row r="599" spans="13:38" hidden="1" x14ac:dyDescent="0.25">
      <c r="M599" s="3">
        <v>587</v>
      </c>
      <c r="N599" s="3">
        <f t="shared" si="54"/>
        <v>0</v>
      </c>
      <c r="O599" s="6">
        <f t="shared" si="55"/>
        <v>0</v>
      </c>
      <c r="P599" s="6"/>
      <c r="S599" s="23"/>
      <c r="AG599" s="3">
        <v>587</v>
      </c>
      <c r="AI599" s="23">
        <f t="shared" si="56"/>
        <v>0</v>
      </c>
      <c r="AJ599" s="44">
        <f t="shared" si="57"/>
        <v>0</v>
      </c>
      <c r="AL599" s="6">
        <f t="shared" si="58"/>
        <v>0</v>
      </c>
    </row>
    <row r="600" spans="13:38" hidden="1" x14ac:dyDescent="0.25">
      <c r="M600" s="3">
        <v>588</v>
      </c>
      <c r="N600" s="3">
        <f t="shared" si="54"/>
        <v>0</v>
      </c>
      <c r="O600" s="6">
        <f t="shared" si="55"/>
        <v>0</v>
      </c>
      <c r="P600" s="6"/>
      <c r="S600" s="23"/>
      <c r="AG600" s="3">
        <v>588</v>
      </c>
      <c r="AI600" s="23">
        <f t="shared" si="56"/>
        <v>0</v>
      </c>
      <c r="AJ600" s="44">
        <f t="shared" si="57"/>
        <v>0</v>
      </c>
      <c r="AL600" s="6">
        <f t="shared" si="58"/>
        <v>0</v>
      </c>
    </row>
    <row r="601" spans="13:38" hidden="1" x14ac:dyDescent="0.25">
      <c r="M601" s="3">
        <v>589</v>
      </c>
      <c r="N601" s="3">
        <f t="shared" si="54"/>
        <v>0</v>
      </c>
      <c r="O601" s="6">
        <f t="shared" si="55"/>
        <v>0</v>
      </c>
      <c r="P601" s="6"/>
      <c r="S601" s="23"/>
      <c r="AG601" s="3">
        <v>589</v>
      </c>
      <c r="AI601" s="23">
        <f t="shared" si="56"/>
        <v>0</v>
      </c>
      <c r="AJ601" s="44">
        <f t="shared" si="57"/>
        <v>0</v>
      </c>
      <c r="AL601" s="6">
        <f t="shared" si="58"/>
        <v>0</v>
      </c>
    </row>
    <row r="602" spans="13:38" hidden="1" x14ac:dyDescent="0.25">
      <c r="M602" s="3">
        <v>590</v>
      </c>
      <c r="N602" s="3">
        <f t="shared" si="54"/>
        <v>0</v>
      </c>
      <c r="O602" s="6">
        <f t="shared" si="55"/>
        <v>0</v>
      </c>
      <c r="P602" s="6"/>
      <c r="S602" s="23"/>
      <c r="AG602" s="3">
        <v>590</v>
      </c>
      <c r="AI602" s="23">
        <f t="shared" si="56"/>
        <v>0</v>
      </c>
      <c r="AJ602" s="44">
        <f t="shared" si="57"/>
        <v>0</v>
      </c>
      <c r="AL602" s="6">
        <f t="shared" si="58"/>
        <v>0</v>
      </c>
    </row>
    <row r="603" spans="13:38" hidden="1" x14ac:dyDescent="0.25">
      <c r="M603" s="3">
        <v>591</v>
      </c>
      <c r="N603" s="3">
        <f t="shared" si="54"/>
        <v>0</v>
      </c>
      <c r="O603" s="6">
        <f t="shared" si="55"/>
        <v>0</v>
      </c>
      <c r="P603" s="6"/>
      <c r="S603" s="23"/>
      <c r="AG603" s="3">
        <v>591</v>
      </c>
      <c r="AI603" s="23">
        <f t="shared" si="56"/>
        <v>0</v>
      </c>
      <c r="AJ603" s="44">
        <f t="shared" si="57"/>
        <v>0</v>
      </c>
      <c r="AL603" s="6">
        <f t="shared" si="58"/>
        <v>0</v>
      </c>
    </row>
    <row r="604" spans="13:38" hidden="1" x14ac:dyDescent="0.25">
      <c r="M604" s="3">
        <v>592</v>
      </c>
      <c r="N604" s="3">
        <f t="shared" si="54"/>
        <v>0</v>
      </c>
      <c r="O604" s="6">
        <f t="shared" si="55"/>
        <v>0</v>
      </c>
      <c r="P604" s="6"/>
      <c r="S604" s="23"/>
      <c r="AG604" s="3">
        <v>592</v>
      </c>
      <c r="AI604" s="23">
        <f t="shared" si="56"/>
        <v>0</v>
      </c>
      <c r="AJ604" s="44">
        <f t="shared" si="57"/>
        <v>0</v>
      </c>
      <c r="AL604" s="6">
        <f t="shared" si="58"/>
        <v>0</v>
      </c>
    </row>
    <row r="605" spans="13:38" hidden="1" x14ac:dyDescent="0.25">
      <c r="M605" s="3">
        <v>593</v>
      </c>
      <c r="N605" s="3">
        <f t="shared" si="54"/>
        <v>0</v>
      </c>
      <c r="O605" s="6">
        <f t="shared" si="55"/>
        <v>0</v>
      </c>
      <c r="P605" s="6"/>
      <c r="S605" s="23"/>
      <c r="AG605" s="3">
        <v>593</v>
      </c>
      <c r="AI605" s="23">
        <f t="shared" si="56"/>
        <v>0</v>
      </c>
      <c r="AJ605" s="44">
        <f t="shared" si="57"/>
        <v>0</v>
      </c>
      <c r="AL605" s="6">
        <f t="shared" si="58"/>
        <v>0</v>
      </c>
    </row>
    <row r="606" spans="13:38" hidden="1" x14ac:dyDescent="0.25">
      <c r="M606" s="3">
        <v>594</v>
      </c>
      <c r="N606" s="3">
        <f t="shared" si="54"/>
        <v>0</v>
      </c>
      <c r="O606" s="6">
        <f t="shared" si="55"/>
        <v>0</v>
      </c>
      <c r="P606" s="6"/>
      <c r="S606" s="23"/>
      <c r="AG606" s="3">
        <v>594</v>
      </c>
      <c r="AI606" s="23">
        <f t="shared" si="56"/>
        <v>0</v>
      </c>
      <c r="AJ606" s="44">
        <f t="shared" si="57"/>
        <v>0</v>
      </c>
      <c r="AL606" s="6">
        <f t="shared" si="58"/>
        <v>0</v>
      </c>
    </row>
    <row r="607" spans="13:38" hidden="1" x14ac:dyDescent="0.25">
      <c r="M607" s="3">
        <v>595</v>
      </c>
      <c r="N607" s="3">
        <f t="shared" si="54"/>
        <v>0</v>
      </c>
      <c r="O607" s="6">
        <f t="shared" si="55"/>
        <v>0</v>
      </c>
      <c r="P607" s="6"/>
      <c r="S607" s="23"/>
      <c r="AG607" s="3">
        <v>595</v>
      </c>
      <c r="AI607" s="23">
        <f t="shared" si="56"/>
        <v>0</v>
      </c>
      <c r="AJ607" s="44">
        <f t="shared" si="57"/>
        <v>0</v>
      </c>
      <c r="AL607" s="6">
        <f t="shared" si="58"/>
        <v>0</v>
      </c>
    </row>
    <row r="608" spans="13:38" hidden="1" x14ac:dyDescent="0.25">
      <c r="M608" s="3">
        <v>596</v>
      </c>
      <c r="N608" s="3">
        <f t="shared" si="54"/>
        <v>0</v>
      </c>
      <c r="O608" s="6">
        <f t="shared" si="55"/>
        <v>0</v>
      </c>
      <c r="P608" s="6"/>
      <c r="S608" s="23"/>
      <c r="AG608" s="3">
        <v>596</v>
      </c>
      <c r="AI608" s="23">
        <f t="shared" si="56"/>
        <v>0</v>
      </c>
      <c r="AJ608" s="44">
        <f t="shared" si="57"/>
        <v>0</v>
      </c>
      <c r="AL608" s="6">
        <f t="shared" si="58"/>
        <v>0</v>
      </c>
    </row>
    <row r="609" spans="13:38" hidden="1" x14ac:dyDescent="0.25">
      <c r="M609" s="3">
        <v>597</v>
      </c>
      <c r="N609" s="3">
        <f t="shared" si="54"/>
        <v>0</v>
      </c>
      <c r="O609" s="6">
        <f t="shared" si="55"/>
        <v>0</v>
      </c>
      <c r="P609" s="6"/>
      <c r="S609" s="23"/>
      <c r="AG609" s="3">
        <v>597</v>
      </c>
      <c r="AI609" s="23">
        <f t="shared" si="56"/>
        <v>0</v>
      </c>
      <c r="AJ609" s="44">
        <f t="shared" si="57"/>
        <v>0</v>
      </c>
      <c r="AL609" s="6">
        <f t="shared" si="58"/>
        <v>0</v>
      </c>
    </row>
    <row r="610" spans="13:38" hidden="1" x14ac:dyDescent="0.25">
      <c r="M610" s="3">
        <v>598</v>
      </c>
      <c r="N610" s="3">
        <f t="shared" si="54"/>
        <v>0</v>
      </c>
      <c r="O610" s="6">
        <f t="shared" si="55"/>
        <v>0</v>
      </c>
      <c r="P610" s="6"/>
      <c r="S610" s="23"/>
      <c r="AG610" s="3">
        <v>598</v>
      </c>
      <c r="AI610" s="23">
        <f t="shared" si="56"/>
        <v>0</v>
      </c>
      <c r="AJ610" s="44">
        <f t="shared" si="57"/>
        <v>0</v>
      </c>
      <c r="AL610" s="6">
        <f t="shared" si="58"/>
        <v>0</v>
      </c>
    </row>
    <row r="611" spans="13:38" hidden="1" x14ac:dyDescent="0.25">
      <c r="M611" s="3">
        <v>599</v>
      </c>
      <c r="N611" s="3">
        <f t="shared" si="54"/>
        <v>0</v>
      </c>
      <c r="O611" s="6">
        <f t="shared" si="55"/>
        <v>0</v>
      </c>
      <c r="P611" s="6"/>
      <c r="S611" s="23"/>
      <c r="AG611" s="3">
        <v>599</v>
      </c>
      <c r="AI611" s="23">
        <f t="shared" si="56"/>
        <v>0</v>
      </c>
      <c r="AJ611" s="44">
        <f t="shared" si="57"/>
        <v>0</v>
      </c>
      <c r="AL611" s="6">
        <f t="shared" si="58"/>
        <v>0</v>
      </c>
    </row>
    <row r="612" spans="13:38" hidden="1" x14ac:dyDescent="0.25">
      <c r="M612" s="3">
        <v>600</v>
      </c>
      <c r="N612" s="3">
        <f t="shared" si="54"/>
        <v>0</v>
      </c>
      <c r="O612" s="6">
        <f t="shared" si="55"/>
        <v>0</v>
      </c>
      <c r="P612" s="6"/>
      <c r="S612" s="23"/>
      <c r="AG612" s="3">
        <v>600</v>
      </c>
      <c r="AI612" s="23">
        <f t="shared" si="56"/>
        <v>0</v>
      </c>
      <c r="AJ612" s="44">
        <f t="shared" si="57"/>
        <v>0</v>
      </c>
      <c r="AL612" s="6">
        <f t="shared" si="58"/>
        <v>0</v>
      </c>
    </row>
  </sheetData>
  <sheetProtection selectLockedCells="1"/>
  <mergeCells count="2">
    <mergeCell ref="B2:D2"/>
    <mergeCell ref="J11:L11"/>
  </mergeCells>
  <dataValidations disablePrompts="1" count="1">
    <dataValidation type="list" allowBlank="1" showInputMessage="1" showErrorMessage="1" sqref="D17" xr:uid="{C8FC9ED6-6BE0-4A88-95A3-554DD7D0300B}">
      <formula1>"Suggested, Override"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420" r:id="rId4" name="prtGoalPlan">
          <controlPr defaultSize="0" print="0" autoLine="0" r:id="rId5">
            <anchor moveWithCells="1">
              <from>
                <xdr:col>4</xdr:col>
                <xdr:colOff>228600</xdr:colOff>
                <xdr:row>21</xdr:row>
                <xdr:rowOff>114300</xdr:rowOff>
              </from>
              <to>
                <xdr:col>5</xdr:col>
                <xdr:colOff>60960</xdr:colOff>
                <xdr:row>23</xdr:row>
                <xdr:rowOff>53340</xdr:rowOff>
              </to>
            </anchor>
          </controlPr>
        </control>
      </mc:Choice>
      <mc:Fallback>
        <control shapeId="12420" r:id="rId4" name="prtGoalPlan"/>
      </mc:Fallback>
    </mc:AlternateContent>
    <mc:AlternateContent xmlns:mc="http://schemas.openxmlformats.org/markup-compatibility/2006">
      <mc:Choice Requires="x14">
        <control shapeId="12290" r:id="rId6" name="optCalculated">
          <controlPr defaultSize="0" autoFill="0" autoLine="0" autoPict="0" macro="[0]!optCalculated_Click">
            <anchor moveWithCells="1">
              <from>
                <xdr:col>2</xdr:col>
                <xdr:colOff>1005840</xdr:colOff>
                <xdr:row>14</xdr:row>
                <xdr:rowOff>129540</xdr:rowOff>
              </from>
              <to>
                <xdr:col>3</xdr:col>
                <xdr:colOff>701040</xdr:colOff>
                <xdr:row>16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1" r:id="rId7" name="optOverride">
          <controlPr defaultSize="0" autoFill="0" autoLine="0" autoPict="0" macro="[0]!optOverride_Click">
            <anchor moveWithCells="1">
              <from>
                <xdr:col>2</xdr:col>
                <xdr:colOff>1005840</xdr:colOff>
                <xdr:row>15</xdr:row>
                <xdr:rowOff>137160</xdr:rowOff>
              </from>
              <to>
                <xdr:col>3</xdr:col>
                <xdr:colOff>701040</xdr:colOff>
                <xdr:row>17</xdr:row>
                <xdr:rowOff>15240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Goal Options</vt:lpstr>
      <vt:lpstr>CapGainTax</vt:lpstr>
      <vt:lpstr>'Goal Options'!GoalAmt</vt:lpstr>
      <vt:lpstr>'Goal Options'!GoalYears</vt:lpstr>
      <vt:lpstr>'Goal Options'!GRate</vt:lpstr>
      <vt:lpstr>'Goal Options'!SIPAmount</vt:lpstr>
      <vt:lpstr>'Goal Options'!SIPGoal</vt:lpstr>
      <vt:lpstr>SIPRate</vt:lpstr>
      <vt:lpstr>'Goal Options'!TotalInv</vt:lpstr>
      <vt:lpstr>'Goal Options'!TotalLumpsum</vt:lpstr>
      <vt:lpstr>'Goal Options'!TotalSIP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Goal Investment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2026-08-10T04:59:58Z</dcterms:modified>
  <cp:contentStatus>Jul 4 2017</cp:contentStatus>
</cp:coreProperties>
</file>