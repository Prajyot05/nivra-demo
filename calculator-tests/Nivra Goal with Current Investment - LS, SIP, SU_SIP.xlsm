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_Personal\Finance\Investments\Nivra FinTech\Tools\Unprotected\"/>
    </mc:Choice>
  </mc:AlternateContent>
  <xr:revisionPtr revIDLastSave="0" documentId="8_{B09841F8-EE5C-4A61-91D0-BEE8E15941AF}" xr6:coauthVersionLast="47" xr6:coauthVersionMax="47" xr10:uidLastSave="{00000000-0000-0000-0000-000000000000}"/>
  <bookViews>
    <workbookView xWindow="-108" yWindow="-108" windowWidth="23256" windowHeight="12456" tabRatio="716" xr2:uid="{00000000-000D-0000-FFFF-FFFF00000000}"/>
  </bookViews>
  <sheets>
    <sheet name="Goal Options" sheetId="31" r:id="rId1"/>
  </sheets>
  <functionGroups builtInGroupCount="19"/>
  <definedNames>
    <definedName name="_xleta.DATEVALUE" hidden="1" xlm="1">#NAME?</definedName>
    <definedName name="_xleta.FV" hidden="1" xlm="1">#NAME?</definedName>
    <definedName name="_xleta.IF" hidden="1" xlm="1">#NAME?</definedName>
    <definedName name="_xleta.INT" hidden="1" xlm="1">#NAME?</definedName>
    <definedName name="_xleta.MAX" hidden="1" xlm="1">#NAME?</definedName>
    <definedName name="_xleta.MONTH" hidden="1" xlm="1">#NAME?</definedName>
    <definedName name="_xleta.OFFSET" hidden="1" xlm="1">#NAME?</definedName>
    <definedName name="_xleta.QUOTIENT" hidden="1" xlm="1">#NAME?</definedName>
    <definedName name="_xleta.TODAY" hidden="1" xlm="1">#NAME?</definedName>
    <definedName name="CapGainTax">'Goal Options'!$C$7</definedName>
    <definedName name="GoalAmt" localSheetId="0">'Goal Options'!$C$4</definedName>
    <definedName name="GoalChart">OFFSET('Goal Options'!$AB$2,0,1,1,'Goal Options'!$AK$1)</definedName>
    <definedName name="GoalChartLbl">OFFSET('Goal Options'!$AB$1,0,1,1,'Goal Options'!$AK$1)</definedName>
    <definedName name="GoalYears" localSheetId="0">'Goal Options'!$C$5</definedName>
    <definedName name="GRate" localSheetId="0">'Goal Options'!$C$25</definedName>
    <definedName name="InvMonths">'Goal Options'!$X$3</definedName>
    <definedName name="InvRate">'Goal Options'!$C$6</definedName>
    <definedName name="SIPAmount" localSheetId="0">'Goal Options'!$AD$6</definedName>
    <definedName name="SIPRate">'Goal Options'!$O$1</definedName>
    <definedName name="SU_Amt">'Goal Options'!$O$18</definedName>
    <definedName name="TotalLumpsum" localSheetId="0">'Goal Options'!#REF!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31" l="1"/>
  <c r="C15" i="31"/>
  <c r="S25" i="31" l="1"/>
  <c r="O1" i="31"/>
  <c r="S31" i="31" s="1"/>
  <c r="E24" i="31" s="1"/>
  <c r="C33" i="31"/>
  <c r="C24" i="31"/>
  <c r="C23" i="31"/>
  <c r="S23" i="31" l="1"/>
  <c r="F23" i="31" s="1"/>
  <c r="E23" i="31"/>
  <c r="R1" i="31"/>
  <c r="D5" i="31"/>
  <c r="O7" i="31"/>
  <c r="O9" i="31" s="1"/>
  <c r="C26" i="31"/>
  <c r="C16" i="31"/>
  <c r="O3" i="31"/>
  <c r="O4" i="31"/>
  <c r="O5" i="31" s="1"/>
  <c r="C31" i="31"/>
  <c r="S32" i="31"/>
  <c r="D24" i="31" s="1"/>
  <c r="M918" i="31"/>
  <c r="M919" i="31"/>
  <c r="M920" i="31"/>
  <c r="M22" i="31"/>
  <c r="M23" i="31"/>
  <c r="M24" i="31"/>
  <c r="M25" i="31"/>
  <c r="M26" i="31"/>
  <c r="M27" i="31"/>
  <c r="M28" i="31"/>
  <c r="M29" i="31"/>
  <c r="M30" i="31"/>
  <c r="M31" i="31"/>
  <c r="M32" i="31"/>
  <c r="M33" i="31"/>
  <c r="M34" i="31"/>
  <c r="M35" i="31"/>
  <c r="M36" i="31"/>
  <c r="M37" i="31"/>
  <c r="M38" i="31"/>
  <c r="M39" i="31"/>
  <c r="M40" i="31"/>
  <c r="M41" i="31"/>
  <c r="M42" i="31"/>
  <c r="M43" i="31"/>
  <c r="M44" i="31"/>
  <c r="M45" i="31"/>
  <c r="M46" i="31"/>
  <c r="M47" i="31"/>
  <c r="M48" i="31"/>
  <c r="L48" i="31" s="1"/>
  <c r="M49" i="31"/>
  <c r="L49" i="31" s="1"/>
  <c r="M50" i="31"/>
  <c r="L50" i="31" s="1"/>
  <c r="M51" i="31"/>
  <c r="L51" i="31" s="1"/>
  <c r="M52" i="31"/>
  <c r="L52" i="31" s="1"/>
  <c r="M53" i="31"/>
  <c r="L53" i="31" s="1"/>
  <c r="M54" i="31"/>
  <c r="L54" i="31" s="1"/>
  <c r="M55" i="31"/>
  <c r="L55" i="31" s="1"/>
  <c r="M56" i="31"/>
  <c r="L56" i="31" s="1"/>
  <c r="M57" i="31"/>
  <c r="L57" i="31" s="1"/>
  <c r="M58" i="31"/>
  <c r="L58" i="31" s="1"/>
  <c r="M59" i="31"/>
  <c r="L59" i="31" s="1"/>
  <c r="M60" i="31"/>
  <c r="L60" i="31" s="1"/>
  <c r="M61" i="31"/>
  <c r="L61" i="31" s="1"/>
  <c r="M62" i="31"/>
  <c r="L62" i="31" s="1"/>
  <c r="M63" i="31"/>
  <c r="L63" i="31" s="1"/>
  <c r="M64" i="31"/>
  <c r="L64" i="31" s="1"/>
  <c r="M65" i="31"/>
  <c r="L65" i="31" s="1"/>
  <c r="M66" i="31"/>
  <c r="L66" i="31" s="1"/>
  <c r="M67" i="31"/>
  <c r="L67" i="31" s="1"/>
  <c r="M68" i="31"/>
  <c r="L68" i="31" s="1"/>
  <c r="M69" i="31"/>
  <c r="L69" i="31" s="1"/>
  <c r="M70" i="31"/>
  <c r="L70" i="31" s="1"/>
  <c r="M71" i="31"/>
  <c r="L71" i="31" s="1"/>
  <c r="M72" i="31"/>
  <c r="L72" i="31" s="1"/>
  <c r="M73" i="31"/>
  <c r="L73" i="31" s="1"/>
  <c r="M74" i="31"/>
  <c r="L74" i="31" s="1"/>
  <c r="M75" i="31"/>
  <c r="L75" i="31" s="1"/>
  <c r="M76" i="31"/>
  <c r="L76" i="31" s="1"/>
  <c r="M77" i="31"/>
  <c r="L77" i="31" s="1"/>
  <c r="M78" i="31"/>
  <c r="L78" i="31" s="1"/>
  <c r="M79" i="31"/>
  <c r="L79" i="31" s="1"/>
  <c r="M80" i="31"/>
  <c r="L80" i="31" s="1"/>
  <c r="M81" i="31"/>
  <c r="L81" i="31" s="1"/>
  <c r="M82" i="31"/>
  <c r="L82" i="31" s="1"/>
  <c r="M83" i="31"/>
  <c r="L83" i="31" s="1"/>
  <c r="M84" i="31"/>
  <c r="L84" i="31" s="1"/>
  <c r="M85" i="31"/>
  <c r="L85" i="31" s="1"/>
  <c r="M86" i="31"/>
  <c r="L86" i="31" s="1"/>
  <c r="M87" i="31"/>
  <c r="L87" i="31" s="1"/>
  <c r="M88" i="31"/>
  <c r="L88" i="31" s="1"/>
  <c r="M89" i="31"/>
  <c r="L89" i="31" s="1"/>
  <c r="M90" i="31"/>
  <c r="L90" i="31" s="1"/>
  <c r="M91" i="31"/>
  <c r="L91" i="31" s="1"/>
  <c r="M92" i="31"/>
  <c r="L92" i="31" s="1"/>
  <c r="M93" i="31"/>
  <c r="L93" i="31" s="1"/>
  <c r="M94" i="31"/>
  <c r="L94" i="31" s="1"/>
  <c r="M95" i="31"/>
  <c r="L95" i="31" s="1"/>
  <c r="M96" i="31"/>
  <c r="L96" i="31" s="1"/>
  <c r="M97" i="31"/>
  <c r="L97" i="31" s="1"/>
  <c r="M98" i="31"/>
  <c r="L98" i="31" s="1"/>
  <c r="M99" i="31"/>
  <c r="L99" i="31" s="1"/>
  <c r="M100" i="31"/>
  <c r="L100" i="31" s="1"/>
  <c r="M101" i="31"/>
  <c r="L101" i="31" s="1"/>
  <c r="M102" i="31"/>
  <c r="L102" i="31" s="1"/>
  <c r="M103" i="31"/>
  <c r="L103" i="31" s="1"/>
  <c r="M104" i="31"/>
  <c r="L104" i="31" s="1"/>
  <c r="M105" i="31"/>
  <c r="L105" i="31" s="1"/>
  <c r="M106" i="31"/>
  <c r="L106" i="31" s="1"/>
  <c r="M107" i="31"/>
  <c r="L107" i="31" s="1"/>
  <c r="M108" i="31"/>
  <c r="L108" i="31" s="1"/>
  <c r="M109" i="31"/>
  <c r="L109" i="31" s="1"/>
  <c r="M110" i="31"/>
  <c r="L110" i="31" s="1"/>
  <c r="M111" i="31"/>
  <c r="L111" i="31" s="1"/>
  <c r="M112" i="31"/>
  <c r="L112" i="31" s="1"/>
  <c r="M113" i="31"/>
  <c r="L113" i="31" s="1"/>
  <c r="M114" i="31"/>
  <c r="L114" i="31" s="1"/>
  <c r="M115" i="31"/>
  <c r="L115" i="31" s="1"/>
  <c r="M116" i="31"/>
  <c r="L116" i="31" s="1"/>
  <c r="M117" i="31"/>
  <c r="L117" i="31" s="1"/>
  <c r="M118" i="31"/>
  <c r="L118" i="31" s="1"/>
  <c r="M119" i="31"/>
  <c r="L119" i="31" s="1"/>
  <c r="M120" i="31"/>
  <c r="L120" i="31" s="1"/>
  <c r="M121" i="31"/>
  <c r="L121" i="31" s="1"/>
  <c r="M122" i="31"/>
  <c r="L122" i="31" s="1"/>
  <c r="M123" i="31"/>
  <c r="L123" i="31" s="1"/>
  <c r="M124" i="31"/>
  <c r="L124" i="31" s="1"/>
  <c r="M125" i="31"/>
  <c r="L125" i="31" s="1"/>
  <c r="M126" i="31"/>
  <c r="L126" i="31" s="1"/>
  <c r="M127" i="31"/>
  <c r="L127" i="31" s="1"/>
  <c r="M128" i="31"/>
  <c r="L128" i="31" s="1"/>
  <c r="M129" i="31"/>
  <c r="L129" i="31" s="1"/>
  <c r="M130" i="31"/>
  <c r="L130" i="31" s="1"/>
  <c r="M131" i="31"/>
  <c r="L131" i="31" s="1"/>
  <c r="M132" i="31"/>
  <c r="L132" i="31" s="1"/>
  <c r="M133" i="31"/>
  <c r="L133" i="31" s="1"/>
  <c r="M134" i="31"/>
  <c r="L134" i="31" s="1"/>
  <c r="M135" i="31"/>
  <c r="L135" i="31" s="1"/>
  <c r="M136" i="31"/>
  <c r="L136" i="31" s="1"/>
  <c r="M137" i="31"/>
  <c r="L137" i="31" s="1"/>
  <c r="M138" i="31"/>
  <c r="L138" i="31" s="1"/>
  <c r="M139" i="31"/>
  <c r="L139" i="31" s="1"/>
  <c r="M140" i="31"/>
  <c r="L140" i="31" s="1"/>
  <c r="M141" i="31"/>
  <c r="L141" i="31" s="1"/>
  <c r="M142" i="31"/>
  <c r="L142" i="31" s="1"/>
  <c r="M143" i="31"/>
  <c r="L143" i="31" s="1"/>
  <c r="M144" i="31"/>
  <c r="L144" i="31" s="1"/>
  <c r="M145" i="31"/>
  <c r="L145" i="31" s="1"/>
  <c r="M146" i="31"/>
  <c r="L146" i="31" s="1"/>
  <c r="M147" i="31"/>
  <c r="L147" i="31" s="1"/>
  <c r="M148" i="31"/>
  <c r="L148" i="31" s="1"/>
  <c r="M149" i="31"/>
  <c r="L149" i="31" s="1"/>
  <c r="M150" i="31"/>
  <c r="L150" i="31" s="1"/>
  <c r="M151" i="31"/>
  <c r="L151" i="31" s="1"/>
  <c r="M152" i="31"/>
  <c r="L152" i="31" s="1"/>
  <c r="M153" i="31"/>
  <c r="L153" i="31" s="1"/>
  <c r="M154" i="31"/>
  <c r="L154" i="31" s="1"/>
  <c r="M155" i="31"/>
  <c r="L155" i="31" s="1"/>
  <c r="M156" i="31"/>
  <c r="L156" i="31" s="1"/>
  <c r="M157" i="31"/>
  <c r="L157" i="31" s="1"/>
  <c r="M158" i="31"/>
  <c r="L158" i="31" s="1"/>
  <c r="M159" i="31"/>
  <c r="L159" i="31" s="1"/>
  <c r="M160" i="31"/>
  <c r="L160" i="31" s="1"/>
  <c r="M161" i="31"/>
  <c r="L161" i="31" s="1"/>
  <c r="M162" i="31"/>
  <c r="L162" i="31" s="1"/>
  <c r="M163" i="31"/>
  <c r="L163" i="31" s="1"/>
  <c r="M164" i="31"/>
  <c r="L164" i="31" s="1"/>
  <c r="M165" i="31"/>
  <c r="L165" i="31" s="1"/>
  <c r="M166" i="31"/>
  <c r="L166" i="31" s="1"/>
  <c r="M167" i="31"/>
  <c r="L167" i="31" s="1"/>
  <c r="M168" i="31"/>
  <c r="L168" i="31" s="1"/>
  <c r="M169" i="31"/>
  <c r="L169" i="31" s="1"/>
  <c r="M170" i="31"/>
  <c r="L170" i="31" s="1"/>
  <c r="M171" i="31"/>
  <c r="L171" i="31" s="1"/>
  <c r="M172" i="31"/>
  <c r="L172" i="31" s="1"/>
  <c r="M173" i="31"/>
  <c r="L173" i="31" s="1"/>
  <c r="M174" i="31"/>
  <c r="L174" i="31" s="1"/>
  <c r="M175" i="31"/>
  <c r="L175" i="31" s="1"/>
  <c r="M176" i="31"/>
  <c r="L176" i="31" s="1"/>
  <c r="M177" i="31"/>
  <c r="L177" i="31" s="1"/>
  <c r="M178" i="31"/>
  <c r="L178" i="31" s="1"/>
  <c r="M179" i="31"/>
  <c r="L179" i="31" s="1"/>
  <c r="M180" i="31"/>
  <c r="L180" i="31" s="1"/>
  <c r="M181" i="31"/>
  <c r="L181" i="31" s="1"/>
  <c r="M182" i="31"/>
  <c r="L182" i="31" s="1"/>
  <c r="M183" i="31"/>
  <c r="L183" i="31" s="1"/>
  <c r="M184" i="31"/>
  <c r="L184" i="31" s="1"/>
  <c r="M185" i="31"/>
  <c r="L185" i="31" s="1"/>
  <c r="M186" i="31"/>
  <c r="L186" i="31" s="1"/>
  <c r="M187" i="31"/>
  <c r="L187" i="31" s="1"/>
  <c r="M188" i="31"/>
  <c r="L188" i="31" s="1"/>
  <c r="M189" i="31"/>
  <c r="L189" i="31" s="1"/>
  <c r="M190" i="31"/>
  <c r="L190" i="31" s="1"/>
  <c r="M191" i="31"/>
  <c r="L191" i="31" s="1"/>
  <c r="M192" i="31"/>
  <c r="L192" i="31" s="1"/>
  <c r="M193" i="31"/>
  <c r="L193" i="31" s="1"/>
  <c r="M194" i="31"/>
  <c r="L194" i="31" s="1"/>
  <c r="M195" i="31"/>
  <c r="L195" i="31" s="1"/>
  <c r="M196" i="31"/>
  <c r="L196" i="31" s="1"/>
  <c r="M197" i="31"/>
  <c r="L197" i="31" s="1"/>
  <c r="M198" i="31"/>
  <c r="L198" i="31" s="1"/>
  <c r="M199" i="31"/>
  <c r="L199" i="31" s="1"/>
  <c r="M200" i="31"/>
  <c r="L200" i="31" s="1"/>
  <c r="M201" i="31"/>
  <c r="L201" i="31" s="1"/>
  <c r="M202" i="31"/>
  <c r="L202" i="31" s="1"/>
  <c r="M203" i="31"/>
  <c r="L203" i="31" s="1"/>
  <c r="M204" i="31"/>
  <c r="L204" i="31" s="1"/>
  <c r="M205" i="31"/>
  <c r="L205" i="31" s="1"/>
  <c r="M206" i="31"/>
  <c r="L206" i="31" s="1"/>
  <c r="M207" i="31"/>
  <c r="L207" i="31" s="1"/>
  <c r="M208" i="31"/>
  <c r="L208" i="31" s="1"/>
  <c r="M209" i="31"/>
  <c r="L209" i="31" s="1"/>
  <c r="M210" i="31"/>
  <c r="L210" i="31" s="1"/>
  <c r="M211" i="31"/>
  <c r="L211" i="31" s="1"/>
  <c r="M212" i="31"/>
  <c r="L212" i="31" s="1"/>
  <c r="M213" i="31"/>
  <c r="L213" i="31" s="1"/>
  <c r="M214" i="31"/>
  <c r="L214" i="31" s="1"/>
  <c r="M215" i="31"/>
  <c r="L215" i="31" s="1"/>
  <c r="M216" i="31"/>
  <c r="L216" i="31" s="1"/>
  <c r="M217" i="31"/>
  <c r="L217" i="31" s="1"/>
  <c r="M218" i="31"/>
  <c r="L218" i="31" s="1"/>
  <c r="M219" i="31"/>
  <c r="L219" i="31" s="1"/>
  <c r="M220" i="31"/>
  <c r="L220" i="31" s="1"/>
  <c r="M221" i="31"/>
  <c r="L221" i="31" s="1"/>
  <c r="M222" i="31"/>
  <c r="L222" i="31" s="1"/>
  <c r="M223" i="31"/>
  <c r="L223" i="31" s="1"/>
  <c r="M224" i="31"/>
  <c r="L224" i="31" s="1"/>
  <c r="M225" i="31"/>
  <c r="L225" i="31" s="1"/>
  <c r="M226" i="31"/>
  <c r="L226" i="31" s="1"/>
  <c r="M227" i="31"/>
  <c r="L227" i="31" s="1"/>
  <c r="M228" i="31"/>
  <c r="L228" i="31" s="1"/>
  <c r="M229" i="31"/>
  <c r="L229" i="31" s="1"/>
  <c r="M230" i="31"/>
  <c r="L230" i="31" s="1"/>
  <c r="M231" i="31"/>
  <c r="L231" i="31" s="1"/>
  <c r="M232" i="31"/>
  <c r="L232" i="31" s="1"/>
  <c r="M233" i="31"/>
  <c r="L233" i="31" s="1"/>
  <c r="M234" i="31"/>
  <c r="L234" i="31" s="1"/>
  <c r="M235" i="31"/>
  <c r="L235" i="31" s="1"/>
  <c r="M236" i="31"/>
  <c r="L236" i="31" s="1"/>
  <c r="M237" i="31"/>
  <c r="L237" i="31" s="1"/>
  <c r="M238" i="31"/>
  <c r="L238" i="31" s="1"/>
  <c r="M239" i="31"/>
  <c r="L239" i="31" s="1"/>
  <c r="M240" i="31"/>
  <c r="L240" i="31" s="1"/>
  <c r="M241" i="31"/>
  <c r="L241" i="31" s="1"/>
  <c r="M242" i="31"/>
  <c r="L242" i="31" s="1"/>
  <c r="M243" i="31"/>
  <c r="L243" i="31" s="1"/>
  <c r="M244" i="31"/>
  <c r="L244" i="31" s="1"/>
  <c r="M245" i="31"/>
  <c r="L245" i="31" s="1"/>
  <c r="M246" i="31"/>
  <c r="L246" i="31" s="1"/>
  <c r="M247" i="31"/>
  <c r="L247" i="31" s="1"/>
  <c r="M248" i="31"/>
  <c r="L248" i="31" s="1"/>
  <c r="M249" i="31"/>
  <c r="L249" i="31" s="1"/>
  <c r="M250" i="31"/>
  <c r="L250" i="31" s="1"/>
  <c r="M251" i="31"/>
  <c r="L251" i="31" s="1"/>
  <c r="M252" i="31"/>
  <c r="L252" i="31" s="1"/>
  <c r="M253" i="31"/>
  <c r="L253" i="31" s="1"/>
  <c r="M254" i="31"/>
  <c r="L254" i="31" s="1"/>
  <c r="M255" i="31"/>
  <c r="L255" i="31" s="1"/>
  <c r="M256" i="31"/>
  <c r="L256" i="31" s="1"/>
  <c r="M257" i="31"/>
  <c r="L257" i="31" s="1"/>
  <c r="M258" i="31"/>
  <c r="L258" i="31" s="1"/>
  <c r="M259" i="31"/>
  <c r="L259" i="31" s="1"/>
  <c r="M260" i="31"/>
  <c r="L260" i="31" s="1"/>
  <c r="M261" i="31"/>
  <c r="L261" i="31" s="1"/>
  <c r="M262" i="31"/>
  <c r="L262" i="31" s="1"/>
  <c r="M263" i="31"/>
  <c r="L263" i="31" s="1"/>
  <c r="M264" i="31"/>
  <c r="L264" i="31" s="1"/>
  <c r="M265" i="31"/>
  <c r="L265" i="31" s="1"/>
  <c r="M266" i="31"/>
  <c r="L266" i="31" s="1"/>
  <c r="M267" i="31"/>
  <c r="L267" i="31" s="1"/>
  <c r="M268" i="31"/>
  <c r="L268" i="31" s="1"/>
  <c r="M269" i="31"/>
  <c r="L269" i="31" s="1"/>
  <c r="M270" i="31"/>
  <c r="L270" i="31" s="1"/>
  <c r="M271" i="31"/>
  <c r="L271" i="31" s="1"/>
  <c r="M272" i="31"/>
  <c r="L272" i="31" s="1"/>
  <c r="M273" i="31"/>
  <c r="L273" i="31" s="1"/>
  <c r="M274" i="31"/>
  <c r="L274" i="31" s="1"/>
  <c r="M275" i="31"/>
  <c r="L275" i="31" s="1"/>
  <c r="M276" i="31"/>
  <c r="L276" i="31" s="1"/>
  <c r="M277" i="31"/>
  <c r="L277" i="31" s="1"/>
  <c r="M278" i="31"/>
  <c r="L278" i="31" s="1"/>
  <c r="M279" i="31"/>
  <c r="L279" i="31" s="1"/>
  <c r="M280" i="31"/>
  <c r="L280" i="31" s="1"/>
  <c r="M281" i="31"/>
  <c r="L281" i="31" s="1"/>
  <c r="M282" i="31"/>
  <c r="L282" i="31" s="1"/>
  <c r="M283" i="31"/>
  <c r="L283" i="31" s="1"/>
  <c r="M284" i="31"/>
  <c r="L284" i="31" s="1"/>
  <c r="M285" i="31"/>
  <c r="L285" i="31" s="1"/>
  <c r="M286" i="31"/>
  <c r="L286" i="31" s="1"/>
  <c r="M287" i="31"/>
  <c r="L287" i="31" s="1"/>
  <c r="M288" i="31"/>
  <c r="L288" i="31" s="1"/>
  <c r="M289" i="31"/>
  <c r="L289" i="31" s="1"/>
  <c r="M290" i="31"/>
  <c r="L290" i="31" s="1"/>
  <c r="M291" i="31"/>
  <c r="L291" i="31" s="1"/>
  <c r="M292" i="31"/>
  <c r="L292" i="31" s="1"/>
  <c r="M293" i="31"/>
  <c r="L293" i="31" s="1"/>
  <c r="M294" i="31"/>
  <c r="L294" i="31" s="1"/>
  <c r="M295" i="31"/>
  <c r="L295" i="31" s="1"/>
  <c r="M296" i="31"/>
  <c r="L296" i="31" s="1"/>
  <c r="M297" i="31"/>
  <c r="L297" i="31" s="1"/>
  <c r="M298" i="31"/>
  <c r="L298" i="31" s="1"/>
  <c r="M299" i="31"/>
  <c r="L299" i="31" s="1"/>
  <c r="M300" i="31"/>
  <c r="L300" i="31" s="1"/>
  <c r="M301" i="31"/>
  <c r="L301" i="31" s="1"/>
  <c r="M302" i="31"/>
  <c r="L302" i="31" s="1"/>
  <c r="M303" i="31"/>
  <c r="L303" i="31" s="1"/>
  <c r="M304" i="31"/>
  <c r="L304" i="31" s="1"/>
  <c r="M305" i="31"/>
  <c r="L305" i="31" s="1"/>
  <c r="M306" i="31"/>
  <c r="L306" i="31" s="1"/>
  <c r="M307" i="31"/>
  <c r="L307" i="31" s="1"/>
  <c r="M308" i="31"/>
  <c r="L308" i="31" s="1"/>
  <c r="M309" i="31"/>
  <c r="L309" i="31" s="1"/>
  <c r="M310" i="31"/>
  <c r="L310" i="31" s="1"/>
  <c r="M311" i="31"/>
  <c r="L311" i="31" s="1"/>
  <c r="M312" i="31"/>
  <c r="L312" i="31" s="1"/>
  <c r="M313" i="31"/>
  <c r="L313" i="31" s="1"/>
  <c r="M314" i="31"/>
  <c r="L314" i="31" s="1"/>
  <c r="M315" i="31"/>
  <c r="L315" i="31" s="1"/>
  <c r="M316" i="31"/>
  <c r="L316" i="31" s="1"/>
  <c r="M317" i="31"/>
  <c r="L317" i="31" s="1"/>
  <c r="M318" i="31"/>
  <c r="L318" i="31" s="1"/>
  <c r="M319" i="31"/>
  <c r="L319" i="31" s="1"/>
  <c r="M320" i="31"/>
  <c r="L320" i="31" s="1"/>
  <c r="M321" i="31"/>
  <c r="L321" i="31" s="1"/>
  <c r="M322" i="31"/>
  <c r="L322" i="31" s="1"/>
  <c r="M323" i="31"/>
  <c r="L323" i="31" s="1"/>
  <c r="M324" i="31"/>
  <c r="L324" i="31" s="1"/>
  <c r="M325" i="31"/>
  <c r="L325" i="31" s="1"/>
  <c r="M326" i="31"/>
  <c r="L326" i="31" s="1"/>
  <c r="M327" i="31"/>
  <c r="L327" i="31" s="1"/>
  <c r="M328" i="31"/>
  <c r="L328" i="31" s="1"/>
  <c r="M329" i="31"/>
  <c r="L329" i="31" s="1"/>
  <c r="M330" i="31"/>
  <c r="L330" i="31" s="1"/>
  <c r="M331" i="31"/>
  <c r="L331" i="31" s="1"/>
  <c r="M332" i="31"/>
  <c r="L332" i="31" s="1"/>
  <c r="M333" i="31"/>
  <c r="L333" i="31" s="1"/>
  <c r="M334" i="31"/>
  <c r="L334" i="31" s="1"/>
  <c r="M335" i="31"/>
  <c r="L335" i="31" s="1"/>
  <c r="M336" i="31"/>
  <c r="L336" i="31" s="1"/>
  <c r="M337" i="31"/>
  <c r="L337" i="31" s="1"/>
  <c r="M338" i="31"/>
  <c r="L338" i="31" s="1"/>
  <c r="M339" i="31"/>
  <c r="L339" i="31" s="1"/>
  <c r="M340" i="31"/>
  <c r="L340" i="31" s="1"/>
  <c r="M341" i="31"/>
  <c r="L341" i="31" s="1"/>
  <c r="M342" i="31"/>
  <c r="L342" i="31" s="1"/>
  <c r="M343" i="31"/>
  <c r="L343" i="31" s="1"/>
  <c r="M344" i="31"/>
  <c r="L344" i="31" s="1"/>
  <c r="M345" i="31"/>
  <c r="L345" i="31" s="1"/>
  <c r="M346" i="31"/>
  <c r="L346" i="31" s="1"/>
  <c r="M347" i="31"/>
  <c r="L347" i="31" s="1"/>
  <c r="M348" i="31"/>
  <c r="L348" i="31" s="1"/>
  <c r="M349" i="31"/>
  <c r="L349" i="31" s="1"/>
  <c r="M350" i="31"/>
  <c r="L350" i="31" s="1"/>
  <c r="M351" i="31"/>
  <c r="L351" i="31" s="1"/>
  <c r="M352" i="31"/>
  <c r="L352" i="31" s="1"/>
  <c r="M353" i="31"/>
  <c r="L353" i="31" s="1"/>
  <c r="M354" i="31"/>
  <c r="L354" i="31" s="1"/>
  <c r="M355" i="31"/>
  <c r="L355" i="31" s="1"/>
  <c r="M356" i="31"/>
  <c r="L356" i="31" s="1"/>
  <c r="M357" i="31"/>
  <c r="L357" i="31" s="1"/>
  <c r="M358" i="31"/>
  <c r="L358" i="31" s="1"/>
  <c r="M359" i="31"/>
  <c r="L359" i="31" s="1"/>
  <c r="M360" i="31"/>
  <c r="L360" i="31" s="1"/>
  <c r="M361" i="31"/>
  <c r="L361" i="31" s="1"/>
  <c r="M362" i="31"/>
  <c r="L362" i="31" s="1"/>
  <c r="M363" i="31"/>
  <c r="L363" i="31" s="1"/>
  <c r="M364" i="31"/>
  <c r="L364" i="31" s="1"/>
  <c r="M365" i="31"/>
  <c r="L365" i="31" s="1"/>
  <c r="M366" i="31"/>
  <c r="L366" i="31" s="1"/>
  <c r="M367" i="31"/>
  <c r="L367" i="31" s="1"/>
  <c r="M368" i="31"/>
  <c r="L368" i="31" s="1"/>
  <c r="M369" i="31"/>
  <c r="L369" i="31" s="1"/>
  <c r="M370" i="31"/>
  <c r="L370" i="31" s="1"/>
  <c r="M371" i="31"/>
  <c r="L371" i="31" s="1"/>
  <c r="M372" i="31"/>
  <c r="L372" i="31" s="1"/>
  <c r="M373" i="31"/>
  <c r="L373" i="31" s="1"/>
  <c r="M374" i="31"/>
  <c r="L374" i="31" s="1"/>
  <c r="M375" i="31"/>
  <c r="L375" i="31" s="1"/>
  <c r="M376" i="31"/>
  <c r="L376" i="31" s="1"/>
  <c r="M377" i="31"/>
  <c r="L377" i="31" s="1"/>
  <c r="M378" i="31"/>
  <c r="L378" i="31" s="1"/>
  <c r="M379" i="31"/>
  <c r="L379" i="31" s="1"/>
  <c r="M380" i="31"/>
  <c r="L380" i="31" s="1"/>
  <c r="M381" i="31"/>
  <c r="L381" i="31" s="1"/>
  <c r="M382" i="31"/>
  <c r="L382" i="31" s="1"/>
  <c r="M383" i="31"/>
  <c r="L383" i="31" s="1"/>
  <c r="M384" i="31"/>
  <c r="L384" i="31" s="1"/>
  <c r="M385" i="31"/>
  <c r="L385" i="31" s="1"/>
  <c r="M386" i="31"/>
  <c r="L386" i="31" s="1"/>
  <c r="M387" i="31"/>
  <c r="L387" i="31" s="1"/>
  <c r="M388" i="31"/>
  <c r="L388" i="31" s="1"/>
  <c r="M389" i="31"/>
  <c r="L389" i="31" s="1"/>
  <c r="M390" i="31"/>
  <c r="L390" i="31" s="1"/>
  <c r="M391" i="31"/>
  <c r="L391" i="31" s="1"/>
  <c r="M392" i="31"/>
  <c r="L392" i="31" s="1"/>
  <c r="M393" i="31"/>
  <c r="L393" i="31" s="1"/>
  <c r="M394" i="31"/>
  <c r="L394" i="31" s="1"/>
  <c r="M395" i="31"/>
  <c r="L395" i="31" s="1"/>
  <c r="M396" i="31"/>
  <c r="L396" i="31" s="1"/>
  <c r="M397" i="31"/>
  <c r="L397" i="31" s="1"/>
  <c r="M398" i="31"/>
  <c r="L398" i="31" s="1"/>
  <c r="M399" i="31"/>
  <c r="L399" i="31" s="1"/>
  <c r="M400" i="31"/>
  <c r="L400" i="31" s="1"/>
  <c r="M401" i="31"/>
  <c r="L401" i="31" s="1"/>
  <c r="M402" i="31"/>
  <c r="L402" i="31" s="1"/>
  <c r="M403" i="31"/>
  <c r="L403" i="31" s="1"/>
  <c r="M404" i="31"/>
  <c r="L404" i="31" s="1"/>
  <c r="M405" i="31"/>
  <c r="L405" i="31" s="1"/>
  <c r="M406" i="31"/>
  <c r="L406" i="31" s="1"/>
  <c r="M407" i="31"/>
  <c r="L407" i="31" s="1"/>
  <c r="M408" i="31"/>
  <c r="L408" i="31" s="1"/>
  <c r="M409" i="31"/>
  <c r="L409" i="31" s="1"/>
  <c r="M410" i="31"/>
  <c r="L410" i="31" s="1"/>
  <c r="M411" i="31"/>
  <c r="L411" i="31" s="1"/>
  <c r="M412" i="31"/>
  <c r="L412" i="31" s="1"/>
  <c r="M413" i="31"/>
  <c r="L413" i="31" s="1"/>
  <c r="M414" i="31"/>
  <c r="L414" i="31" s="1"/>
  <c r="M415" i="31"/>
  <c r="L415" i="31" s="1"/>
  <c r="M416" i="31"/>
  <c r="L416" i="31" s="1"/>
  <c r="M417" i="31"/>
  <c r="L417" i="31" s="1"/>
  <c r="M418" i="31"/>
  <c r="L418" i="31" s="1"/>
  <c r="M419" i="31"/>
  <c r="L419" i="31" s="1"/>
  <c r="M420" i="31"/>
  <c r="L420" i="31" s="1"/>
  <c r="M421" i="31"/>
  <c r="L421" i="31" s="1"/>
  <c r="M422" i="31"/>
  <c r="L422" i="31" s="1"/>
  <c r="M423" i="31"/>
  <c r="L423" i="31" s="1"/>
  <c r="M424" i="31"/>
  <c r="L424" i="31" s="1"/>
  <c r="M425" i="31"/>
  <c r="L425" i="31" s="1"/>
  <c r="M426" i="31"/>
  <c r="L426" i="31" s="1"/>
  <c r="M427" i="31"/>
  <c r="L427" i="31" s="1"/>
  <c r="M428" i="31"/>
  <c r="L428" i="31" s="1"/>
  <c r="M429" i="31"/>
  <c r="L429" i="31" s="1"/>
  <c r="M430" i="31"/>
  <c r="L430" i="31" s="1"/>
  <c r="M431" i="31"/>
  <c r="L431" i="31" s="1"/>
  <c r="M432" i="31"/>
  <c r="L432" i="31" s="1"/>
  <c r="M433" i="31"/>
  <c r="L433" i="31" s="1"/>
  <c r="M434" i="31"/>
  <c r="L434" i="31" s="1"/>
  <c r="M435" i="31"/>
  <c r="L435" i="31" s="1"/>
  <c r="M436" i="31"/>
  <c r="L436" i="31" s="1"/>
  <c r="M437" i="31"/>
  <c r="L437" i="31" s="1"/>
  <c r="M438" i="31"/>
  <c r="L438" i="31" s="1"/>
  <c r="M439" i="31"/>
  <c r="L439" i="31" s="1"/>
  <c r="M440" i="31"/>
  <c r="L440" i="31" s="1"/>
  <c r="M441" i="31"/>
  <c r="L441" i="31" s="1"/>
  <c r="M442" i="31"/>
  <c r="L442" i="31" s="1"/>
  <c r="M443" i="31"/>
  <c r="L443" i="31" s="1"/>
  <c r="M444" i="31"/>
  <c r="L444" i="31" s="1"/>
  <c r="M445" i="31"/>
  <c r="L445" i="31" s="1"/>
  <c r="M446" i="31"/>
  <c r="L446" i="31" s="1"/>
  <c r="M447" i="31"/>
  <c r="L447" i="31" s="1"/>
  <c r="M448" i="31"/>
  <c r="L448" i="31" s="1"/>
  <c r="M449" i="31"/>
  <c r="L449" i="31" s="1"/>
  <c r="M450" i="31"/>
  <c r="L450" i="31" s="1"/>
  <c r="M451" i="31"/>
  <c r="L451" i="31" s="1"/>
  <c r="M452" i="31"/>
  <c r="L452" i="31" s="1"/>
  <c r="M453" i="31"/>
  <c r="L453" i="31" s="1"/>
  <c r="M454" i="31"/>
  <c r="L454" i="31" s="1"/>
  <c r="M455" i="31"/>
  <c r="L455" i="31" s="1"/>
  <c r="M456" i="31"/>
  <c r="L456" i="31" s="1"/>
  <c r="M457" i="31"/>
  <c r="L457" i="31" s="1"/>
  <c r="M458" i="31"/>
  <c r="L458" i="31" s="1"/>
  <c r="M459" i="31"/>
  <c r="L459" i="31" s="1"/>
  <c r="M460" i="31"/>
  <c r="L460" i="31" s="1"/>
  <c r="M461" i="31"/>
  <c r="L461" i="31" s="1"/>
  <c r="M462" i="31"/>
  <c r="L462" i="31" s="1"/>
  <c r="M463" i="31"/>
  <c r="L463" i="31" s="1"/>
  <c r="M464" i="31"/>
  <c r="L464" i="31" s="1"/>
  <c r="M465" i="31"/>
  <c r="L465" i="31" s="1"/>
  <c r="M466" i="31"/>
  <c r="L466" i="31" s="1"/>
  <c r="M467" i="31"/>
  <c r="L467" i="31" s="1"/>
  <c r="M468" i="31"/>
  <c r="L468" i="31" s="1"/>
  <c r="M469" i="31"/>
  <c r="L469" i="31" s="1"/>
  <c r="M470" i="31"/>
  <c r="L470" i="31" s="1"/>
  <c r="M471" i="31"/>
  <c r="L471" i="31" s="1"/>
  <c r="M472" i="31"/>
  <c r="L472" i="31" s="1"/>
  <c r="M473" i="31"/>
  <c r="L473" i="31" s="1"/>
  <c r="M474" i="31"/>
  <c r="L474" i="31" s="1"/>
  <c r="M475" i="31"/>
  <c r="L475" i="31" s="1"/>
  <c r="M476" i="31"/>
  <c r="L476" i="31" s="1"/>
  <c r="M477" i="31"/>
  <c r="L477" i="31" s="1"/>
  <c r="M478" i="31"/>
  <c r="L478" i="31" s="1"/>
  <c r="M479" i="31"/>
  <c r="L479" i="31" s="1"/>
  <c r="M480" i="31"/>
  <c r="L480" i="31" s="1"/>
  <c r="M481" i="31"/>
  <c r="L481" i="31" s="1"/>
  <c r="M482" i="31"/>
  <c r="L482" i="31" s="1"/>
  <c r="M483" i="31"/>
  <c r="L483" i="31" s="1"/>
  <c r="M484" i="31"/>
  <c r="L484" i="31" s="1"/>
  <c r="M485" i="31"/>
  <c r="L485" i="31" s="1"/>
  <c r="M486" i="31"/>
  <c r="L486" i="31" s="1"/>
  <c r="M487" i="31"/>
  <c r="L487" i="31" s="1"/>
  <c r="M488" i="31"/>
  <c r="L488" i="31" s="1"/>
  <c r="M489" i="31"/>
  <c r="L489" i="31" s="1"/>
  <c r="M490" i="31"/>
  <c r="L490" i="31" s="1"/>
  <c r="M491" i="31"/>
  <c r="L491" i="31" s="1"/>
  <c r="M492" i="31"/>
  <c r="L492" i="31" s="1"/>
  <c r="M493" i="31"/>
  <c r="L493" i="31" s="1"/>
  <c r="M494" i="31"/>
  <c r="L494" i="31" s="1"/>
  <c r="M495" i="31"/>
  <c r="L495" i="31" s="1"/>
  <c r="M496" i="31"/>
  <c r="L496" i="31" s="1"/>
  <c r="M497" i="31"/>
  <c r="L497" i="31" s="1"/>
  <c r="M498" i="31"/>
  <c r="L498" i="31" s="1"/>
  <c r="M499" i="31"/>
  <c r="L499" i="31" s="1"/>
  <c r="M500" i="31"/>
  <c r="L500" i="31" s="1"/>
  <c r="M501" i="31"/>
  <c r="L501" i="31" s="1"/>
  <c r="M502" i="31"/>
  <c r="L502" i="31" s="1"/>
  <c r="M503" i="31"/>
  <c r="L503" i="31" s="1"/>
  <c r="M504" i="31"/>
  <c r="L504" i="31" s="1"/>
  <c r="M505" i="31"/>
  <c r="L505" i="31" s="1"/>
  <c r="M506" i="31"/>
  <c r="L506" i="31" s="1"/>
  <c r="M507" i="31"/>
  <c r="L507" i="31" s="1"/>
  <c r="M508" i="31"/>
  <c r="L508" i="31" s="1"/>
  <c r="M509" i="31"/>
  <c r="L509" i="31" s="1"/>
  <c r="M510" i="31"/>
  <c r="L510" i="31" s="1"/>
  <c r="M511" i="31"/>
  <c r="L511" i="31" s="1"/>
  <c r="M512" i="31"/>
  <c r="L512" i="31" s="1"/>
  <c r="M513" i="31"/>
  <c r="L513" i="31" s="1"/>
  <c r="M514" i="31"/>
  <c r="L514" i="31" s="1"/>
  <c r="M515" i="31"/>
  <c r="L515" i="31" s="1"/>
  <c r="M516" i="31"/>
  <c r="L516" i="31" s="1"/>
  <c r="M517" i="31"/>
  <c r="L517" i="31" s="1"/>
  <c r="M518" i="31"/>
  <c r="L518" i="31" s="1"/>
  <c r="M519" i="31"/>
  <c r="L519" i="31" s="1"/>
  <c r="M520" i="31"/>
  <c r="L520" i="31" s="1"/>
  <c r="M521" i="31"/>
  <c r="L521" i="31" s="1"/>
  <c r="M522" i="31"/>
  <c r="L522" i="31" s="1"/>
  <c r="M523" i="31"/>
  <c r="L523" i="31" s="1"/>
  <c r="M524" i="31"/>
  <c r="L524" i="31" s="1"/>
  <c r="M525" i="31"/>
  <c r="L525" i="31" s="1"/>
  <c r="M526" i="31"/>
  <c r="L526" i="31" s="1"/>
  <c r="M527" i="31"/>
  <c r="L527" i="31" s="1"/>
  <c r="M528" i="31"/>
  <c r="L528" i="31" s="1"/>
  <c r="M529" i="31"/>
  <c r="L529" i="31" s="1"/>
  <c r="M530" i="31"/>
  <c r="L530" i="31" s="1"/>
  <c r="M531" i="31"/>
  <c r="L531" i="31" s="1"/>
  <c r="M532" i="31"/>
  <c r="L532" i="31" s="1"/>
  <c r="M533" i="31"/>
  <c r="L533" i="31" s="1"/>
  <c r="M534" i="31"/>
  <c r="L534" i="31" s="1"/>
  <c r="M535" i="31"/>
  <c r="L535" i="31" s="1"/>
  <c r="M536" i="31"/>
  <c r="L536" i="31" s="1"/>
  <c r="M537" i="31"/>
  <c r="L537" i="31" s="1"/>
  <c r="M538" i="31"/>
  <c r="L538" i="31" s="1"/>
  <c r="M539" i="31"/>
  <c r="L539" i="31" s="1"/>
  <c r="M540" i="31"/>
  <c r="L540" i="31" s="1"/>
  <c r="M541" i="31"/>
  <c r="L541" i="31" s="1"/>
  <c r="M542" i="31"/>
  <c r="L542" i="31" s="1"/>
  <c r="M543" i="31"/>
  <c r="L543" i="31" s="1"/>
  <c r="M544" i="31"/>
  <c r="L544" i="31" s="1"/>
  <c r="M545" i="31"/>
  <c r="L545" i="31" s="1"/>
  <c r="M546" i="31"/>
  <c r="L546" i="31" s="1"/>
  <c r="M547" i="31"/>
  <c r="L547" i="31" s="1"/>
  <c r="M548" i="31"/>
  <c r="L548" i="31" s="1"/>
  <c r="M549" i="31"/>
  <c r="L549" i="31" s="1"/>
  <c r="M550" i="31"/>
  <c r="L550" i="31" s="1"/>
  <c r="M551" i="31"/>
  <c r="L551" i="31" s="1"/>
  <c r="M552" i="31"/>
  <c r="L552" i="31" s="1"/>
  <c r="M553" i="31"/>
  <c r="L553" i="31" s="1"/>
  <c r="M554" i="31"/>
  <c r="L554" i="31" s="1"/>
  <c r="M555" i="31"/>
  <c r="L555" i="31" s="1"/>
  <c r="M556" i="31"/>
  <c r="L556" i="31" s="1"/>
  <c r="M557" i="31"/>
  <c r="L557" i="31" s="1"/>
  <c r="M558" i="31"/>
  <c r="L558" i="31" s="1"/>
  <c r="M559" i="31"/>
  <c r="L559" i="31" s="1"/>
  <c r="M560" i="31"/>
  <c r="L560" i="31" s="1"/>
  <c r="M561" i="31"/>
  <c r="L561" i="31" s="1"/>
  <c r="M562" i="31"/>
  <c r="L562" i="31" s="1"/>
  <c r="M563" i="31"/>
  <c r="L563" i="31" s="1"/>
  <c r="M564" i="31"/>
  <c r="L564" i="31" s="1"/>
  <c r="M565" i="31"/>
  <c r="L565" i="31" s="1"/>
  <c r="M566" i="31"/>
  <c r="L566" i="31" s="1"/>
  <c r="M567" i="31"/>
  <c r="L567" i="31" s="1"/>
  <c r="M568" i="31"/>
  <c r="L568" i="31" s="1"/>
  <c r="M569" i="31"/>
  <c r="L569" i="31" s="1"/>
  <c r="M570" i="31"/>
  <c r="L570" i="31" s="1"/>
  <c r="M571" i="31"/>
  <c r="L571" i="31" s="1"/>
  <c r="M572" i="31"/>
  <c r="L572" i="31" s="1"/>
  <c r="M573" i="31"/>
  <c r="L573" i="31" s="1"/>
  <c r="M574" i="31"/>
  <c r="L574" i="31" s="1"/>
  <c r="M575" i="31"/>
  <c r="L575" i="31" s="1"/>
  <c r="M576" i="31"/>
  <c r="L576" i="31" s="1"/>
  <c r="M577" i="31"/>
  <c r="L577" i="31" s="1"/>
  <c r="M578" i="31"/>
  <c r="L578" i="31" s="1"/>
  <c r="M579" i="31"/>
  <c r="L579" i="31" s="1"/>
  <c r="M580" i="31"/>
  <c r="L580" i="31" s="1"/>
  <c r="M581" i="31"/>
  <c r="L581" i="31" s="1"/>
  <c r="M582" i="31"/>
  <c r="L582" i="31" s="1"/>
  <c r="M583" i="31"/>
  <c r="L583" i="31" s="1"/>
  <c r="M584" i="31"/>
  <c r="L584" i="31" s="1"/>
  <c r="M585" i="31"/>
  <c r="L585" i="31" s="1"/>
  <c r="M586" i="31"/>
  <c r="L586" i="31" s="1"/>
  <c r="M587" i="31"/>
  <c r="L587" i="31" s="1"/>
  <c r="M588" i="31"/>
  <c r="L588" i="31" s="1"/>
  <c r="M589" i="31"/>
  <c r="L589" i="31" s="1"/>
  <c r="M590" i="31"/>
  <c r="L590" i="31" s="1"/>
  <c r="M591" i="31"/>
  <c r="L591" i="31" s="1"/>
  <c r="M592" i="31"/>
  <c r="L592" i="31" s="1"/>
  <c r="M593" i="31"/>
  <c r="L593" i="31" s="1"/>
  <c r="M594" i="31"/>
  <c r="L594" i="31" s="1"/>
  <c r="M595" i="31"/>
  <c r="L595" i="31" s="1"/>
  <c r="M596" i="31"/>
  <c r="L596" i="31" s="1"/>
  <c r="M597" i="31"/>
  <c r="L597" i="31" s="1"/>
  <c r="M598" i="31"/>
  <c r="L598" i="31" s="1"/>
  <c r="M599" i="31"/>
  <c r="L599" i="31" s="1"/>
  <c r="M600" i="31"/>
  <c r="L600" i="31" s="1"/>
  <c r="M601" i="31"/>
  <c r="L601" i="31" s="1"/>
  <c r="M602" i="31"/>
  <c r="L602" i="31" s="1"/>
  <c r="M603" i="31"/>
  <c r="L603" i="31" s="1"/>
  <c r="M604" i="31"/>
  <c r="L604" i="31" s="1"/>
  <c r="M605" i="31"/>
  <c r="L605" i="31" s="1"/>
  <c r="M606" i="31"/>
  <c r="L606" i="31" s="1"/>
  <c r="M607" i="31"/>
  <c r="L607" i="31" s="1"/>
  <c r="M608" i="31"/>
  <c r="L608" i="31" s="1"/>
  <c r="M609" i="31"/>
  <c r="L609" i="31" s="1"/>
  <c r="M610" i="31"/>
  <c r="L610" i="31" s="1"/>
  <c r="M611" i="31"/>
  <c r="L611" i="31" s="1"/>
  <c r="M612" i="31"/>
  <c r="L612" i="31" s="1"/>
  <c r="M613" i="31"/>
  <c r="L613" i="31" s="1"/>
  <c r="M614" i="31"/>
  <c r="L614" i="31" s="1"/>
  <c r="M615" i="31"/>
  <c r="L615" i="31" s="1"/>
  <c r="M616" i="31"/>
  <c r="L616" i="31" s="1"/>
  <c r="M617" i="31"/>
  <c r="L617" i="31" s="1"/>
  <c r="M618" i="31"/>
  <c r="L618" i="31" s="1"/>
  <c r="M619" i="31"/>
  <c r="L619" i="31" s="1"/>
  <c r="M620" i="31"/>
  <c r="L620" i="31" s="1"/>
  <c r="M621" i="31"/>
  <c r="L621" i="31" s="1"/>
  <c r="M622" i="31"/>
  <c r="L622" i="31" s="1"/>
  <c r="M623" i="31"/>
  <c r="L623" i="31" s="1"/>
  <c r="M624" i="31"/>
  <c r="L624" i="31" s="1"/>
  <c r="M625" i="31"/>
  <c r="L625" i="31" s="1"/>
  <c r="M626" i="31"/>
  <c r="L626" i="31" s="1"/>
  <c r="M627" i="31"/>
  <c r="L627" i="31" s="1"/>
  <c r="M628" i="31"/>
  <c r="L628" i="31" s="1"/>
  <c r="M629" i="31"/>
  <c r="L629" i="31" s="1"/>
  <c r="M630" i="31"/>
  <c r="L630" i="31" s="1"/>
  <c r="M631" i="31"/>
  <c r="L631" i="31" s="1"/>
  <c r="M632" i="31"/>
  <c r="L632" i="31" s="1"/>
  <c r="M633" i="31"/>
  <c r="L633" i="31" s="1"/>
  <c r="M634" i="31"/>
  <c r="L634" i="31" s="1"/>
  <c r="M635" i="31"/>
  <c r="L635" i="31" s="1"/>
  <c r="M636" i="31"/>
  <c r="L636" i="31" s="1"/>
  <c r="M637" i="31"/>
  <c r="L637" i="31" s="1"/>
  <c r="M638" i="31"/>
  <c r="L638" i="31" s="1"/>
  <c r="M639" i="31"/>
  <c r="L639" i="31" s="1"/>
  <c r="M640" i="31"/>
  <c r="L640" i="31" s="1"/>
  <c r="M641" i="31"/>
  <c r="L641" i="31" s="1"/>
  <c r="M642" i="31"/>
  <c r="L642" i="31" s="1"/>
  <c r="M643" i="31"/>
  <c r="L643" i="31" s="1"/>
  <c r="M644" i="31"/>
  <c r="L644" i="31" s="1"/>
  <c r="M645" i="31"/>
  <c r="L645" i="31" s="1"/>
  <c r="M646" i="31"/>
  <c r="L646" i="31" s="1"/>
  <c r="M647" i="31"/>
  <c r="L647" i="31" s="1"/>
  <c r="M648" i="31"/>
  <c r="L648" i="31" s="1"/>
  <c r="M649" i="31"/>
  <c r="L649" i="31" s="1"/>
  <c r="M650" i="31"/>
  <c r="L650" i="31" s="1"/>
  <c r="M651" i="31"/>
  <c r="L651" i="31" s="1"/>
  <c r="M652" i="31"/>
  <c r="L652" i="31" s="1"/>
  <c r="M653" i="31"/>
  <c r="L653" i="31" s="1"/>
  <c r="M654" i="31"/>
  <c r="L654" i="31" s="1"/>
  <c r="M655" i="31"/>
  <c r="L655" i="31" s="1"/>
  <c r="M656" i="31"/>
  <c r="L656" i="31" s="1"/>
  <c r="M657" i="31"/>
  <c r="L657" i="31" s="1"/>
  <c r="M658" i="31"/>
  <c r="L658" i="31" s="1"/>
  <c r="M659" i="31"/>
  <c r="L659" i="31" s="1"/>
  <c r="M660" i="31"/>
  <c r="L660" i="31" s="1"/>
  <c r="M661" i="31"/>
  <c r="L661" i="31" s="1"/>
  <c r="M662" i="31"/>
  <c r="L662" i="31" s="1"/>
  <c r="M663" i="31"/>
  <c r="L663" i="31" s="1"/>
  <c r="M664" i="31"/>
  <c r="L664" i="31" s="1"/>
  <c r="M665" i="31"/>
  <c r="L665" i="31" s="1"/>
  <c r="M666" i="31"/>
  <c r="L666" i="31" s="1"/>
  <c r="M667" i="31"/>
  <c r="L667" i="31" s="1"/>
  <c r="M668" i="31"/>
  <c r="L668" i="31" s="1"/>
  <c r="M669" i="31"/>
  <c r="L669" i="31" s="1"/>
  <c r="M670" i="31"/>
  <c r="L670" i="31" s="1"/>
  <c r="M671" i="31"/>
  <c r="L671" i="31" s="1"/>
  <c r="M672" i="31"/>
  <c r="L672" i="31" s="1"/>
  <c r="M673" i="31"/>
  <c r="L673" i="31" s="1"/>
  <c r="M674" i="31"/>
  <c r="L674" i="31" s="1"/>
  <c r="M675" i="31"/>
  <c r="L675" i="31" s="1"/>
  <c r="M676" i="31"/>
  <c r="L676" i="31" s="1"/>
  <c r="M677" i="31"/>
  <c r="L677" i="31" s="1"/>
  <c r="M678" i="31"/>
  <c r="L678" i="31" s="1"/>
  <c r="M679" i="31"/>
  <c r="L679" i="31" s="1"/>
  <c r="M680" i="31"/>
  <c r="L680" i="31" s="1"/>
  <c r="M681" i="31"/>
  <c r="L681" i="31" s="1"/>
  <c r="M682" i="31"/>
  <c r="L682" i="31" s="1"/>
  <c r="M683" i="31"/>
  <c r="L683" i="31" s="1"/>
  <c r="M684" i="31"/>
  <c r="L684" i="31" s="1"/>
  <c r="M685" i="31"/>
  <c r="L685" i="31" s="1"/>
  <c r="M686" i="31"/>
  <c r="L686" i="31" s="1"/>
  <c r="M687" i="31"/>
  <c r="L687" i="31" s="1"/>
  <c r="M688" i="31"/>
  <c r="L688" i="31" s="1"/>
  <c r="M689" i="31"/>
  <c r="L689" i="31" s="1"/>
  <c r="M690" i="31"/>
  <c r="L690" i="31" s="1"/>
  <c r="M691" i="31"/>
  <c r="L691" i="31" s="1"/>
  <c r="M692" i="31"/>
  <c r="L692" i="31" s="1"/>
  <c r="M693" i="31"/>
  <c r="L693" i="31" s="1"/>
  <c r="M694" i="31"/>
  <c r="L694" i="31" s="1"/>
  <c r="M695" i="31"/>
  <c r="L695" i="31" s="1"/>
  <c r="M696" i="31"/>
  <c r="L696" i="31" s="1"/>
  <c r="M697" i="31"/>
  <c r="L697" i="31" s="1"/>
  <c r="M698" i="31"/>
  <c r="L698" i="31" s="1"/>
  <c r="M699" i="31"/>
  <c r="L699" i="31" s="1"/>
  <c r="M700" i="31"/>
  <c r="L700" i="31" s="1"/>
  <c r="M701" i="31"/>
  <c r="L701" i="31" s="1"/>
  <c r="M702" i="31"/>
  <c r="L702" i="31" s="1"/>
  <c r="M703" i="31"/>
  <c r="L703" i="31" s="1"/>
  <c r="M704" i="31"/>
  <c r="L704" i="31" s="1"/>
  <c r="M705" i="31"/>
  <c r="L705" i="31" s="1"/>
  <c r="M706" i="31"/>
  <c r="L706" i="31" s="1"/>
  <c r="M707" i="31"/>
  <c r="L707" i="31" s="1"/>
  <c r="M708" i="31"/>
  <c r="L708" i="31" s="1"/>
  <c r="M709" i="31"/>
  <c r="L709" i="31" s="1"/>
  <c r="M710" i="31"/>
  <c r="L710" i="31" s="1"/>
  <c r="M711" i="31"/>
  <c r="L711" i="31" s="1"/>
  <c r="M712" i="31"/>
  <c r="L712" i="31" s="1"/>
  <c r="M713" i="31"/>
  <c r="L713" i="31" s="1"/>
  <c r="M714" i="31"/>
  <c r="L714" i="31" s="1"/>
  <c r="M715" i="31"/>
  <c r="L715" i="31" s="1"/>
  <c r="M716" i="31"/>
  <c r="L716" i="31" s="1"/>
  <c r="M717" i="31"/>
  <c r="L717" i="31" s="1"/>
  <c r="M718" i="31"/>
  <c r="L718" i="31" s="1"/>
  <c r="M719" i="31"/>
  <c r="L719" i="31" s="1"/>
  <c r="M720" i="31"/>
  <c r="L720" i="31" s="1"/>
  <c r="M721" i="31"/>
  <c r="L721" i="31" s="1"/>
  <c r="M722" i="31"/>
  <c r="L722" i="31" s="1"/>
  <c r="M723" i="31"/>
  <c r="L723" i="31" s="1"/>
  <c r="M724" i="31"/>
  <c r="L724" i="31" s="1"/>
  <c r="M725" i="31"/>
  <c r="L725" i="31" s="1"/>
  <c r="M726" i="31"/>
  <c r="L726" i="31" s="1"/>
  <c r="M727" i="31"/>
  <c r="L727" i="31" s="1"/>
  <c r="M728" i="31"/>
  <c r="L728" i="31" s="1"/>
  <c r="M729" i="31"/>
  <c r="L729" i="31" s="1"/>
  <c r="M730" i="31"/>
  <c r="L730" i="31" s="1"/>
  <c r="M731" i="31"/>
  <c r="L731" i="31" s="1"/>
  <c r="M732" i="31"/>
  <c r="L732" i="31" s="1"/>
  <c r="M733" i="31"/>
  <c r="L733" i="31" s="1"/>
  <c r="M734" i="31"/>
  <c r="L734" i="31" s="1"/>
  <c r="M735" i="31"/>
  <c r="L735" i="31" s="1"/>
  <c r="M736" i="31"/>
  <c r="L736" i="31" s="1"/>
  <c r="M737" i="31"/>
  <c r="L737" i="31" s="1"/>
  <c r="M738" i="31"/>
  <c r="L738" i="31" s="1"/>
  <c r="M739" i="31"/>
  <c r="L739" i="31" s="1"/>
  <c r="M740" i="31"/>
  <c r="L740" i="31" s="1"/>
  <c r="M741" i="31"/>
  <c r="L741" i="31" s="1"/>
  <c r="M742" i="31"/>
  <c r="L742" i="31" s="1"/>
  <c r="M743" i="31"/>
  <c r="L743" i="31" s="1"/>
  <c r="M744" i="31"/>
  <c r="L744" i="31" s="1"/>
  <c r="M745" i="31"/>
  <c r="L745" i="31" s="1"/>
  <c r="M746" i="31"/>
  <c r="L746" i="31" s="1"/>
  <c r="M747" i="31"/>
  <c r="L747" i="31" s="1"/>
  <c r="M748" i="31"/>
  <c r="L748" i="31" s="1"/>
  <c r="M749" i="31"/>
  <c r="L749" i="31" s="1"/>
  <c r="M750" i="31"/>
  <c r="L750" i="31" s="1"/>
  <c r="M751" i="31"/>
  <c r="L751" i="31" s="1"/>
  <c r="M752" i="31"/>
  <c r="L752" i="31" s="1"/>
  <c r="M753" i="31"/>
  <c r="L753" i="31" s="1"/>
  <c r="M754" i="31"/>
  <c r="L754" i="31" s="1"/>
  <c r="M755" i="31"/>
  <c r="L755" i="31" s="1"/>
  <c r="M756" i="31"/>
  <c r="L756" i="31" s="1"/>
  <c r="M757" i="31"/>
  <c r="L757" i="31" s="1"/>
  <c r="M758" i="31"/>
  <c r="L758" i="31" s="1"/>
  <c r="M759" i="31"/>
  <c r="L759" i="31" s="1"/>
  <c r="M760" i="31"/>
  <c r="L760" i="31" s="1"/>
  <c r="M761" i="31"/>
  <c r="L761" i="31" s="1"/>
  <c r="M762" i="31"/>
  <c r="L762" i="31" s="1"/>
  <c r="M763" i="31"/>
  <c r="L763" i="31" s="1"/>
  <c r="M764" i="31"/>
  <c r="L764" i="31" s="1"/>
  <c r="M765" i="31"/>
  <c r="L765" i="31" s="1"/>
  <c r="M766" i="31"/>
  <c r="L766" i="31" s="1"/>
  <c r="M767" i="31"/>
  <c r="L767" i="31" s="1"/>
  <c r="M768" i="31"/>
  <c r="L768" i="31" s="1"/>
  <c r="M769" i="31"/>
  <c r="L769" i="31" s="1"/>
  <c r="M770" i="31"/>
  <c r="L770" i="31" s="1"/>
  <c r="M771" i="31"/>
  <c r="L771" i="31" s="1"/>
  <c r="M772" i="31"/>
  <c r="L772" i="31" s="1"/>
  <c r="M773" i="31"/>
  <c r="L773" i="31" s="1"/>
  <c r="M774" i="31"/>
  <c r="L774" i="31" s="1"/>
  <c r="M775" i="31"/>
  <c r="L775" i="31" s="1"/>
  <c r="M776" i="31"/>
  <c r="L776" i="31" s="1"/>
  <c r="M777" i="31"/>
  <c r="L777" i="31" s="1"/>
  <c r="M778" i="31"/>
  <c r="L778" i="31" s="1"/>
  <c r="M779" i="31"/>
  <c r="L779" i="31" s="1"/>
  <c r="M780" i="31"/>
  <c r="L780" i="31" s="1"/>
  <c r="M781" i="31"/>
  <c r="L781" i="31" s="1"/>
  <c r="M782" i="31"/>
  <c r="L782" i="31" s="1"/>
  <c r="M783" i="31"/>
  <c r="L783" i="31" s="1"/>
  <c r="M784" i="31"/>
  <c r="L784" i="31" s="1"/>
  <c r="M785" i="31"/>
  <c r="L785" i="31" s="1"/>
  <c r="M786" i="31"/>
  <c r="L786" i="31" s="1"/>
  <c r="M787" i="31"/>
  <c r="L787" i="31" s="1"/>
  <c r="M788" i="31"/>
  <c r="L788" i="31" s="1"/>
  <c r="M789" i="31"/>
  <c r="L789" i="31" s="1"/>
  <c r="M790" i="31"/>
  <c r="L790" i="31" s="1"/>
  <c r="M791" i="31"/>
  <c r="L791" i="31" s="1"/>
  <c r="M792" i="31"/>
  <c r="L792" i="31" s="1"/>
  <c r="M793" i="31"/>
  <c r="L793" i="31" s="1"/>
  <c r="M794" i="31"/>
  <c r="L794" i="31" s="1"/>
  <c r="M795" i="31"/>
  <c r="L795" i="31" s="1"/>
  <c r="M796" i="31"/>
  <c r="L796" i="31" s="1"/>
  <c r="M797" i="31"/>
  <c r="L797" i="31" s="1"/>
  <c r="M798" i="31"/>
  <c r="L798" i="31" s="1"/>
  <c r="M799" i="31"/>
  <c r="L799" i="31" s="1"/>
  <c r="M800" i="31"/>
  <c r="L800" i="31" s="1"/>
  <c r="M801" i="31"/>
  <c r="L801" i="31" s="1"/>
  <c r="M802" i="31"/>
  <c r="L802" i="31" s="1"/>
  <c r="M803" i="31"/>
  <c r="L803" i="31" s="1"/>
  <c r="M804" i="31"/>
  <c r="L804" i="31" s="1"/>
  <c r="M805" i="31"/>
  <c r="L805" i="31" s="1"/>
  <c r="M806" i="31"/>
  <c r="L806" i="31" s="1"/>
  <c r="M807" i="31"/>
  <c r="L807" i="31" s="1"/>
  <c r="M808" i="31"/>
  <c r="L808" i="31" s="1"/>
  <c r="M809" i="31"/>
  <c r="L809" i="31" s="1"/>
  <c r="M810" i="31"/>
  <c r="L810" i="31" s="1"/>
  <c r="M811" i="31"/>
  <c r="L811" i="31" s="1"/>
  <c r="M812" i="31"/>
  <c r="L812" i="31" s="1"/>
  <c r="M813" i="31"/>
  <c r="L813" i="31" s="1"/>
  <c r="M814" i="31"/>
  <c r="L814" i="31" s="1"/>
  <c r="M815" i="31"/>
  <c r="L815" i="31" s="1"/>
  <c r="M816" i="31"/>
  <c r="L816" i="31" s="1"/>
  <c r="M817" i="31"/>
  <c r="L817" i="31" s="1"/>
  <c r="M818" i="31"/>
  <c r="L818" i="31" s="1"/>
  <c r="M819" i="31"/>
  <c r="L819" i="31" s="1"/>
  <c r="M820" i="31"/>
  <c r="L820" i="31" s="1"/>
  <c r="M821" i="31"/>
  <c r="L821" i="31" s="1"/>
  <c r="M822" i="31"/>
  <c r="L822" i="31" s="1"/>
  <c r="M823" i="31"/>
  <c r="L823" i="31" s="1"/>
  <c r="M824" i="31"/>
  <c r="L824" i="31" s="1"/>
  <c r="M825" i="31"/>
  <c r="L825" i="31" s="1"/>
  <c r="M826" i="31"/>
  <c r="L826" i="31" s="1"/>
  <c r="M827" i="31"/>
  <c r="L827" i="31" s="1"/>
  <c r="M828" i="31"/>
  <c r="L828" i="31" s="1"/>
  <c r="M829" i="31"/>
  <c r="L829" i="31" s="1"/>
  <c r="M830" i="31"/>
  <c r="L830" i="31" s="1"/>
  <c r="M831" i="31"/>
  <c r="L831" i="31" s="1"/>
  <c r="M832" i="31"/>
  <c r="L832" i="31" s="1"/>
  <c r="M833" i="31"/>
  <c r="L833" i="31" s="1"/>
  <c r="M834" i="31"/>
  <c r="L834" i="31" s="1"/>
  <c r="M835" i="31"/>
  <c r="L835" i="31" s="1"/>
  <c r="M836" i="31"/>
  <c r="L836" i="31" s="1"/>
  <c r="M837" i="31"/>
  <c r="L837" i="31" s="1"/>
  <c r="M838" i="31"/>
  <c r="L838" i="31" s="1"/>
  <c r="M839" i="31"/>
  <c r="L839" i="31" s="1"/>
  <c r="M840" i="31"/>
  <c r="L840" i="31" s="1"/>
  <c r="M841" i="31"/>
  <c r="L841" i="31" s="1"/>
  <c r="M842" i="31"/>
  <c r="L842" i="31" s="1"/>
  <c r="M843" i="31"/>
  <c r="L843" i="31" s="1"/>
  <c r="M844" i="31"/>
  <c r="L844" i="31" s="1"/>
  <c r="M845" i="31"/>
  <c r="L845" i="31" s="1"/>
  <c r="M846" i="31"/>
  <c r="L846" i="31" s="1"/>
  <c r="M847" i="31"/>
  <c r="L847" i="31" s="1"/>
  <c r="M848" i="31"/>
  <c r="L848" i="31" s="1"/>
  <c r="M849" i="31"/>
  <c r="L849" i="31" s="1"/>
  <c r="M850" i="31"/>
  <c r="L850" i="31" s="1"/>
  <c r="M851" i="31"/>
  <c r="L851" i="31" s="1"/>
  <c r="M852" i="31"/>
  <c r="L852" i="31" s="1"/>
  <c r="M853" i="31"/>
  <c r="L853" i="31" s="1"/>
  <c r="M854" i="31"/>
  <c r="L854" i="31" s="1"/>
  <c r="M855" i="31"/>
  <c r="L855" i="31" s="1"/>
  <c r="M856" i="31"/>
  <c r="L856" i="31" s="1"/>
  <c r="M857" i="31"/>
  <c r="L857" i="31" s="1"/>
  <c r="M858" i="31"/>
  <c r="L858" i="31" s="1"/>
  <c r="M859" i="31"/>
  <c r="L859" i="31" s="1"/>
  <c r="M860" i="31"/>
  <c r="L860" i="31" s="1"/>
  <c r="M861" i="31"/>
  <c r="L861" i="31" s="1"/>
  <c r="M862" i="31"/>
  <c r="L862" i="31" s="1"/>
  <c r="M863" i="31"/>
  <c r="L863" i="31" s="1"/>
  <c r="M864" i="31"/>
  <c r="L864" i="31" s="1"/>
  <c r="M865" i="31"/>
  <c r="L865" i="31" s="1"/>
  <c r="M866" i="31"/>
  <c r="L866" i="31" s="1"/>
  <c r="M867" i="31"/>
  <c r="L867" i="31" s="1"/>
  <c r="M868" i="31"/>
  <c r="L868" i="31" s="1"/>
  <c r="M869" i="31"/>
  <c r="L869" i="31" s="1"/>
  <c r="M870" i="31"/>
  <c r="L870" i="31" s="1"/>
  <c r="M871" i="31"/>
  <c r="L871" i="31" s="1"/>
  <c r="M872" i="31"/>
  <c r="L872" i="31" s="1"/>
  <c r="M873" i="31"/>
  <c r="L873" i="31" s="1"/>
  <c r="M874" i="31"/>
  <c r="L874" i="31" s="1"/>
  <c r="M875" i="31"/>
  <c r="L875" i="31" s="1"/>
  <c r="M876" i="31"/>
  <c r="L876" i="31" s="1"/>
  <c r="M877" i="31"/>
  <c r="L877" i="31" s="1"/>
  <c r="M878" i="31"/>
  <c r="L878" i="31" s="1"/>
  <c r="M879" i="31"/>
  <c r="L879" i="31" s="1"/>
  <c r="M880" i="31"/>
  <c r="L880" i="31" s="1"/>
  <c r="M881" i="31"/>
  <c r="L881" i="31" s="1"/>
  <c r="M882" i="31"/>
  <c r="L882" i="31" s="1"/>
  <c r="M883" i="31"/>
  <c r="L883" i="31" s="1"/>
  <c r="M884" i="31"/>
  <c r="L884" i="31" s="1"/>
  <c r="M885" i="31"/>
  <c r="L885" i="31" s="1"/>
  <c r="M886" i="31"/>
  <c r="L886" i="31" s="1"/>
  <c r="M887" i="31"/>
  <c r="L887" i="31" s="1"/>
  <c r="M888" i="31"/>
  <c r="L888" i="31" s="1"/>
  <c r="M889" i="31"/>
  <c r="L889" i="31" s="1"/>
  <c r="M890" i="31"/>
  <c r="L890" i="31" s="1"/>
  <c r="M891" i="31"/>
  <c r="L891" i="31" s="1"/>
  <c r="M892" i="31"/>
  <c r="L892" i="31" s="1"/>
  <c r="M893" i="31"/>
  <c r="L893" i="31" s="1"/>
  <c r="M894" i="31"/>
  <c r="L894" i="31" s="1"/>
  <c r="M895" i="31"/>
  <c r="L895" i="31" s="1"/>
  <c r="M896" i="31"/>
  <c r="L896" i="31" s="1"/>
  <c r="M897" i="31"/>
  <c r="L897" i="31" s="1"/>
  <c r="M898" i="31"/>
  <c r="L898" i="31" s="1"/>
  <c r="M899" i="31"/>
  <c r="L899" i="31" s="1"/>
  <c r="M900" i="31"/>
  <c r="L900" i="31" s="1"/>
  <c r="M901" i="31"/>
  <c r="L901" i="31" s="1"/>
  <c r="M902" i="31"/>
  <c r="L902" i="31" s="1"/>
  <c r="M903" i="31"/>
  <c r="L903" i="31" s="1"/>
  <c r="M904" i="31"/>
  <c r="L904" i="31" s="1"/>
  <c r="M905" i="31"/>
  <c r="L905" i="31" s="1"/>
  <c r="M906" i="31"/>
  <c r="L906" i="31" s="1"/>
  <c r="M907" i="31"/>
  <c r="L907" i="31" s="1"/>
  <c r="M908" i="31"/>
  <c r="L908" i="31" s="1"/>
  <c r="M909" i="31"/>
  <c r="L909" i="31" s="1"/>
  <c r="M910" i="31"/>
  <c r="L910" i="31" s="1"/>
  <c r="M911" i="31"/>
  <c r="L911" i="31" s="1"/>
  <c r="M912" i="31"/>
  <c r="L912" i="31" s="1"/>
  <c r="M913" i="31"/>
  <c r="L913" i="31" s="1"/>
  <c r="M914" i="31"/>
  <c r="L914" i="31" s="1"/>
  <c r="M915" i="31"/>
  <c r="L915" i="31" s="1"/>
  <c r="M916" i="31"/>
  <c r="L916" i="31" s="1"/>
  <c r="M917" i="31"/>
  <c r="L917" i="31" s="1"/>
  <c r="M21" i="31"/>
  <c r="O8" i="31" l="1"/>
  <c r="O10" i="31" s="1"/>
  <c r="S33" i="31" l="1"/>
  <c r="E17" i="31"/>
  <c r="F24" i="31" l="1"/>
  <c r="D16" i="31"/>
  <c r="C17" i="31" s="1"/>
  <c r="O12" i="31" l="1"/>
  <c r="Q12" i="31" l="1"/>
  <c r="X1" i="31"/>
  <c r="C20" i="31"/>
  <c r="D20" i="31" s="1"/>
  <c r="X3" i="31"/>
  <c r="Y1" i="31" l="1"/>
  <c r="F30" i="31" s="1"/>
  <c r="E30" i="31"/>
  <c r="S26" i="31"/>
  <c r="S34" i="31"/>
  <c r="W22" i="31"/>
  <c r="X22" i="31" s="1"/>
  <c r="W34" i="31"/>
  <c r="X34" i="31" s="1"/>
  <c r="W46" i="31"/>
  <c r="X46" i="31" s="1"/>
  <c r="W58" i="31"/>
  <c r="X58" i="31" s="1"/>
  <c r="W70" i="31"/>
  <c r="X70" i="31" s="1"/>
  <c r="W82" i="31"/>
  <c r="X82" i="31" s="1"/>
  <c r="W94" i="31"/>
  <c r="X94" i="31" s="1"/>
  <c r="W106" i="31"/>
  <c r="X106" i="31" s="1"/>
  <c r="W118" i="31"/>
  <c r="X118" i="31" s="1"/>
  <c r="W130" i="31"/>
  <c r="X130" i="31" s="1"/>
  <c r="W142" i="31"/>
  <c r="X142" i="31" s="1"/>
  <c r="W154" i="31"/>
  <c r="X154" i="31" s="1"/>
  <c r="W166" i="31"/>
  <c r="X166" i="31" s="1"/>
  <c r="W178" i="31"/>
  <c r="X178" i="31" s="1"/>
  <c r="W190" i="31"/>
  <c r="X190" i="31" s="1"/>
  <c r="W202" i="31"/>
  <c r="X202" i="31" s="1"/>
  <c r="W214" i="31"/>
  <c r="X214" i="31" s="1"/>
  <c r="W226" i="31"/>
  <c r="X226" i="31" s="1"/>
  <c r="W238" i="31"/>
  <c r="X238" i="31" s="1"/>
  <c r="W250" i="31"/>
  <c r="X250" i="31" s="1"/>
  <c r="W262" i="31"/>
  <c r="X262" i="31" s="1"/>
  <c r="W274" i="31"/>
  <c r="X274" i="31" s="1"/>
  <c r="W286" i="31"/>
  <c r="X286" i="31" s="1"/>
  <c r="W298" i="31"/>
  <c r="X298" i="31" s="1"/>
  <c r="W310" i="31"/>
  <c r="X310" i="31" s="1"/>
  <c r="W322" i="31"/>
  <c r="X322" i="31" s="1"/>
  <c r="W334" i="31"/>
  <c r="X334" i="31" s="1"/>
  <c r="W346" i="31"/>
  <c r="X346" i="31" s="1"/>
  <c r="W358" i="31"/>
  <c r="X358" i="31" s="1"/>
  <c r="W370" i="31"/>
  <c r="X370" i="31" s="1"/>
  <c r="W382" i="31"/>
  <c r="X382" i="31" s="1"/>
  <c r="W394" i="31"/>
  <c r="X394" i="31" s="1"/>
  <c r="W406" i="31"/>
  <c r="X406" i="31" s="1"/>
  <c r="W418" i="31"/>
  <c r="X418" i="31" s="1"/>
  <c r="W430" i="31"/>
  <c r="X430" i="31" s="1"/>
  <c r="W442" i="31"/>
  <c r="X442" i="31" s="1"/>
  <c r="W454" i="31"/>
  <c r="X454" i="31" s="1"/>
  <c r="W466" i="31"/>
  <c r="X466" i="31" s="1"/>
  <c r="W478" i="31"/>
  <c r="X478" i="31" s="1"/>
  <c r="W490" i="31"/>
  <c r="X490" i="31" s="1"/>
  <c r="W502" i="31"/>
  <c r="X502" i="31" s="1"/>
  <c r="W514" i="31"/>
  <c r="X514" i="31" s="1"/>
  <c r="W526" i="31"/>
  <c r="X526" i="31" s="1"/>
  <c r="W538" i="31"/>
  <c r="X538" i="31" s="1"/>
  <c r="W550" i="31"/>
  <c r="X550" i="31" s="1"/>
  <c r="W562" i="31"/>
  <c r="X562" i="31" s="1"/>
  <c r="W574" i="31"/>
  <c r="X574" i="31" s="1"/>
  <c r="W586" i="31"/>
  <c r="X586" i="31" s="1"/>
  <c r="W598" i="31"/>
  <c r="X598" i="31" s="1"/>
  <c r="W610" i="31"/>
  <c r="X610" i="31" s="1"/>
  <c r="W622" i="31"/>
  <c r="W634" i="31"/>
  <c r="W646" i="31"/>
  <c r="W658" i="31"/>
  <c r="W670" i="31"/>
  <c r="W682" i="31"/>
  <c r="W694" i="31"/>
  <c r="W706" i="31"/>
  <c r="W718" i="31"/>
  <c r="W730" i="31"/>
  <c r="W742" i="31"/>
  <c r="W754" i="31"/>
  <c r="W766" i="31"/>
  <c r="W778" i="31"/>
  <c r="W790" i="31"/>
  <c r="W802" i="31"/>
  <c r="W23" i="31"/>
  <c r="X23" i="31" s="1"/>
  <c r="W35" i="31"/>
  <c r="X35" i="31" s="1"/>
  <c r="W47" i="31"/>
  <c r="X47" i="31" s="1"/>
  <c r="W59" i="31"/>
  <c r="X59" i="31" s="1"/>
  <c r="W71" i="31"/>
  <c r="X71" i="31" s="1"/>
  <c r="W83" i="31"/>
  <c r="X83" i="31" s="1"/>
  <c r="W95" i="31"/>
  <c r="X95" i="31" s="1"/>
  <c r="W107" i="31"/>
  <c r="X107" i="31" s="1"/>
  <c r="W119" i="31"/>
  <c r="X119" i="31" s="1"/>
  <c r="W131" i="31"/>
  <c r="X131" i="31" s="1"/>
  <c r="W143" i="31"/>
  <c r="X143" i="31" s="1"/>
  <c r="W155" i="31"/>
  <c r="X155" i="31" s="1"/>
  <c r="W167" i="31"/>
  <c r="X167" i="31" s="1"/>
  <c r="W179" i="31"/>
  <c r="X179" i="31" s="1"/>
  <c r="W191" i="31"/>
  <c r="X191" i="31" s="1"/>
  <c r="W203" i="31"/>
  <c r="X203" i="31" s="1"/>
  <c r="W215" i="31"/>
  <c r="X215" i="31" s="1"/>
  <c r="W227" i="31"/>
  <c r="X227" i="31" s="1"/>
  <c r="W239" i="31"/>
  <c r="W251" i="31"/>
  <c r="X251" i="31" s="1"/>
  <c r="W263" i="31"/>
  <c r="X263" i="31" s="1"/>
  <c r="W275" i="31"/>
  <c r="X275" i="31" s="1"/>
  <c r="W287" i="31"/>
  <c r="X287" i="31" s="1"/>
  <c r="W299" i="31"/>
  <c r="X299" i="31" s="1"/>
  <c r="W311" i="31"/>
  <c r="X311" i="31" s="1"/>
  <c r="W323" i="31"/>
  <c r="X323" i="31" s="1"/>
  <c r="W335" i="31"/>
  <c r="X335" i="31" s="1"/>
  <c r="W347" i="31"/>
  <c r="X347" i="31" s="1"/>
  <c r="W359" i="31"/>
  <c r="X359" i="31" s="1"/>
  <c r="W371" i="31"/>
  <c r="X371" i="31" s="1"/>
  <c r="W383" i="31"/>
  <c r="X383" i="31" s="1"/>
  <c r="W395" i="31"/>
  <c r="X395" i="31" s="1"/>
  <c r="W407" i="31"/>
  <c r="X407" i="31" s="1"/>
  <c r="W419" i="31"/>
  <c r="X419" i="31" s="1"/>
  <c r="W431" i="31"/>
  <c r="X431" i="31" s="1"/>
  <c r="W443" i="31"/>
  <c r="X443" i="31" s="1"/>
  <c r="W455" i="31"/>
  <c r="X455" i="31" s="1"/>
  <c r="W467" i="31"/>
  <c r="X467" i="31" s="1"/>
  <c r="W479" i="31"/>
  <c r="X479" i="31" s="1"/>
  <c r="W491" i="31"/>
  <c r="X491" i="31" s="1"/>
  <c r="W503" i="31"/>
  <c r="X503" i="31" s="1"/>
  <c r="W515" i="31"/>
  <c r="X515" i="31" s="1"/>
  <c r="W527" i="31"/>
  <c r="X527" i="31" s="1"/>
  <c r="W539" i="31"/>
  <c r="X539" i="31" s="1"/>
  <c r="W551" i="31"/>
  <c r="X551" i="31" s="1"/>
  <c r="W563" i="31"/>
  <c r="X563" i="31" s="1"/>
  <c r="W575" i="31"/>
  <c r="X575" i="31" s="1"/>
  <c r="W587" i="31"/>
  <c r="X587" i="31" s="1"/>
  <c r="W599" i="31"/>
  <c r="X599" i="31" s="1"/>
  <c r="W611" i="31"/>
  <c r="X611" i="31" s="1"/>
  <c r="W623" i="31"/>
  <c r="W635" i="31"/>
  <c r="W647" i="31"/>
  <c r="W659" i="31"/>
  <c r="W671" i="31"/>
  <c r="W683" i="31"/>
  <c r="W695" i="31"/>
  <c r="W707" i="31"/>
  <c r="W719" i="31"/>
  <c r="W731" i="31"/>
  <c r="W743" i="31"/>
  <c r="W755" i="31"/>
  <c r="W767" i="31"/>
  <c r="W779" i="31"/>
  <c r="W791" i="31"/>
  <c r="W803" i="31"/>
  <c r="W29" i="31"/>
  <c r="X29" i="31" s="1"/>
  <c r="W31" i="31"/>
  <c r="X31" i="31" s="1"/>
  <c r="W43" i="31"/>
  <c r="X43" i="31" s="1"/>
  <c r="W55" i="31"/>
  <c r="X55" i="31" s="1"/>
  <c r="W67" i="31"/>
  <c r="X67" i="31" s="1"/>
  <c r="W79" i="31"/>
  <c r="X79" i="31" s="1"/>
  <c r="W91" i="31"/>
  <c r="X91" i="31" s="1"/>
  <c r="W103" i="31"/>
  <c r="X103" i="31" s="1"/>
  <c r="W115" i="31"/>
  <c r="X115" i="31" s="1"/>
  <c r="W127" i="31"/>
  <c r="X127" i="31" s="1"/>
  <c r="W139" i="31"/>
  <c r="X139" i="31" s="1"/>
  <c r="W151" i="31"/>
  <c r="X151" i="31" s="1"/>
  <c r="W163" i="31"/>
  <c r="X163" i="31" s="1"/>
  <c r="W175" i="31"/>
  <c r="X175" i="31" s="1"/>
  <c r="W187" i="31"/>
  <c r="X187" i="31" s="1"/>
  <c r="W199" i="31"/>
  <c r="X199" i="31" s="1"/>
  <c r="W211" i="31"/>
  <c r="X211" i="31" s="1"/>
  <c r="W223" i="31"/>
  <c r="X223" i="31" s="1"/>
  <c r="W235" i="31"/>
  <c r="X235" i="31" s="1"/>
  <c r="W247" i="31"/>
  <c r="X247" i="31" s="1"/>
  <c r="W259" i="31"/>
  <c r="X259" i="31" s="1"/>
  <c r="W271" i="31"/>
  <c r="X271" i="31" s="1"/>
  <c r="W283" i="31"/>
  <c r="X283" i="31" s="1"/>
  <c r="W295" i="31"/>
  <c r="X295" i="31" s="1"/>
  <c r="W307" i="31"/>
  <c r="X307" i="31" s="1"/>
  <c r="W319" i="31"/>
  <c r="X319" i="31" s="1"/>
  <c r="W331" i="31"/>
  <c r="X331" i="31" s="1"/>
  <c r="W343" i="31"/>
  <c r="X343" i="31" s="1"/>
  <c r="W355" i="31"/>
  <c r="X355" i="31" s="1"/>
  <c r="W367" i="31"/>
  <c r="X367" i="31" s="1"/>
  <c r="W379" i="31"/>
  <c r="X379" i="31" s="1"/>
  <c r="W391" i="31"/>
  <c r="X391" i="31" s="1"/>
  <c r="W403" i="31"/>
  <c r="X403" i="31" s="1"/>
  <c r="W415" i="31"/>
  <c r="X415" i="31" s="1"/>
  <c r="W427" i="31"/>
  <c r="X427" i="31" s="1"/>
  <c r="W439" i="31"/>
  <c r="X439" i="31" s="1"/>
  <c r="W451" i="31"/>
  <c r="X451" i="31" s="1"/>
  <c r="W463" i="31"/>
  <c r="X463" i="31" s="1"/>
  <c r="W475" i="31"/>
  <c r="X475" i="31" s="1"/>
  <c r="W487" i="31"/>
  <c r="X487" i="31" s="1"/>
  <c r="W499" i="31"/>
  <c r="X499" i="31" s="1"/>
  <c r="W511" i="31"/>
  <c r="X511" i="31" s="1"/>
  <c r="W523" i="31"/>
  <c r="X523" i="31" s="1"/>
  <c r="W535" i="31"/>
  <c r="X535" i="31" s="1"/>
  <c r="W547" i="31"/>
  <c r="X547" i="31" s="1"/>
  <c r="W559" i="31"/>
  <c r="X559" i="31" s="1"/>
  <c r="W571" i="31"/>
  <c r="X571" i="31" s="1"/>
  <c r="W583" i="31"/>
  <c r="X583" i="31" s="1"/>
  <c r="W595" i="31"/>
  <c r="X595" i="31" s="1"/>
  <c r="W607" i="31"/>
  <c r="X607" i="31" s="1"/>
  <c r="W619" i="31"/>
  <c r="X619" i="31" s="1"/>
  <c r="W631" i="31"/>
  <c r="W643" i="31"/>
  <c r="W655" i="31"/>
  <c r="W667" i="31"/>
  <c r="W679" i="31"/>
  <c r="W691" i="31"/>
  <c r="W703" i="31"/>
  <c r="W715" i="31"/>
  <c r="W727" i="31"/>
  <c r="W739" i="31"/>
  <c r="W751" i="31"/>
  <c r="W763" i="31"/>
  <c r="W775" i="31"/>
  <c r="W787" i="31"/>
  <c r="W799" i="31"/>
  <c r="W811" i="31"/>
  <c r="W823" i="31"/>
  <c r="W835" i="31"/>
  <c r="W847" i="31"/>
  <c r="W859" i="31"/>
  <c r="W871" i="31"/>
  <c r="W883" i="31"/>
  <c r="W895" i="31"/>
  <c r="W907" i="31"/>
  <c r="W919" i="31"/>
  <c r="W32" i="31"/>
  <c r="X32" i="31" s="1"/>
  <c r="W44" i="31"/>
  <c r="X44" i="31" s="1"/>
  <c r="W56" i="31"/>
  <c r="X56" i="31" s="1"/>
  <c r="W68" i="31"/>
  <c r="X68" i="31" s="1"/>
  <c r="W80" i="31"/>
  <c r="X80" i="31" s="1"/>
  <c r="W92" i="31"/>
  <c r="X92" i="31" s="1"/>
  <c r="W104" i="31"/>
  <c r="X104" i="31" s="1"/>
  <c r="W116" i="31"/>
  <c r="X116" i="31" s="1"/>
  <c r="W128" i="31"/>
  <c r="X128" i="31" s="1"/>
  <c r="W140" i="31"/>
  <c r="X140" i="31" s="1"/>
  <c r="W24" i="31"/>
  <c r="X24" i="31" s="1"/>
  <c r="W41" i="31"/>
  <c r="X41" i="31" s="1"/>
  <c r="W61" i="31"/>
  <c r="X61" i="31" s="1"/>
  <c r="W77" i="31"/>
  <c r="X77" i="31" s="1"/>
  <c r="W97" i="31"/>
  <c r="X97" i="31" s="1"/>
  <c r="W113" i="31"/>
  <c r="X113" i="31" s="1"/>
  <c r="W133" i="31"/>
  <c r="X133" i="31" s="1"/>
  <c r="W149" i="31"/>
  <c r="X149" i="31" s="1"/>
  <c r="W165" i="31"/>
  <c r="X165" i="31" s="1"/>
  <c r="W182" i="31"/>
  <c r="X182" i="31" s="1"/>
  <c r="W197" i="31"/>
  <c r="X197" i="31" s="1"/>
  <c r="W213" i="31"/>
  <c r="X213" i="31" s="1"/>
  <c r="W230" i="31"/>
  <c r="X230" i="31" s="1"/>
  <c r="W245" i="31"/>
  <c r="X245" i="31" s="1"/>
  <c r="W261" i="31"/>
  <c r="X261" i="31" s="1"/>
  <c r="W278" i="31"/>
  <c r="X278" i="31" s="1"/>
  <c r="W293" i="31"/>
  <c r="X293" i="31" s="1"/>
  <c r="W309" i="31"/>
  <c r="X309" i="31" s="1"/>
  <c r="W326" i="31"/>
  <c r="X326" i="31" s="1"/>
  <c r="W341" i="31"/>
  <c r="X341" i="31" s="1"/>
  <c r="W357" i="31"/>
  <c r="X357" i="31" s="1"/>
  <c r="W374" i="31"/>
  <c r="X374" i="31" s="1"/>
  <c r="W389" i="31"/>
  <c r="X389" i="31" s="1"/>
  <c r="W405" i="31"/>
  <c r="X405" i="31" s="1"/>
  <c r="W422" i="31"/>
  <c r="X422" i="31" s="1"/>
  <c r="W437" i="31"/>
  <c r="X437" i="31" s="1"/>
  <c r="W453" i="31"/>
  <c r="X453" i="31" s="1"/>
  <c r="W470" i="31"/>
  <c r="X470" i="31" s="1"/>
  <c r="W485" i="31"/>
  <c r="X485" i="31" s="1"/>
  <c r="W501" i="31"/>
  <c r="X501" i="31" s="1"/>
  <c r="W518" i="31"/>
  <c r="X518" i="31" s="1"/>
  <c r="W533" i="31"/>
  <c r="X533" i="31" s="1"/>
  <c r="W549" i="31"/>
  <c r="X549" i="31" s="1"/>
  <c r="W566" i="31"/>
  <c r="X566" i="31" s="1"/>
  <c r="W581" i="31"/>
  <c r="X581" i="31" s="1"/>
  <c r="W597" i="31"/>
  <c r="X597" i="31" s="1"/>
  <c r="W614" i="31"/>
  <c r="X614" i="31" s="1"/>
  <c r="W629" i="31"/>
  <c r="W645" i="31"/>
  <c r="W662" i="31"/>
  <c r="W677" i="31"/>
  <c r="W693" i="31"/>
  <c r="W710" i="31"/>
  <c r="W725" i="31"/>
  <c r="W741" i="31"/>
  <c r="W758" i="31"/>
  <c r="W773" i="31"/>
  <c r="W789" i="31"/>
  <c r="W806" i="31"/>
  <c r="W819" i="31"/>
  <c r="W832" i="31"/>
  <c r="W845" i="31"/>
  <c r="W858" i="31"/>
  <c r="W872" i="31"/>
  <c r="W885" i="31"/>
  <c r="W898" i="31"/>
  <c r="W911" i="31"/>
  <c r="W25" i="31"/>
  <c r="X25" i="31" s="1"/>
  <c r="W42" i="31"/>
  <c r="X42" i="31" s="1"/>
  <c r="W62" i="31"/>
  <c r="X62" i="31" s="1"/>
  <c r="W78" i="31"/>
  <c r="X78" i="31" s="1"/>
  <c r="W98" i="31"/>
  <c r="X98" i="31" s="1"/>
  <c r="W114" i="31"/>
  <c r="X114" i="31" s="1"/>
  <c r="W134" i="31"/>
  <c r="X134" i="31" s="1"/>
  <c r="W150" i="31"/>
  <c r="X150" i="31" s="1"/>
  <c r="W168" i="31"/>
  <c r="X168" i="31" s="1"/>
  <c r="W183" i="31"/>
  <c r="X183" i="31" s="1"/>
  <c r="W198" i="31"/>
  <c r="X198" i="31" s="1"/>
  <c r="W216" i="31"/>
  <c r="X216" i="31" s="1"/>
  <c r="W231" i="31"/>
  <c r="X231" i="31" s="1"/>
  <c r="W246" i="31"/>
  <c r="X246" i="31" s="1"/>
  <c r="W264" i="31"/>
  <c r="X264" i="31" s="1"/>
  <c r="W279" i="31"/>
  <c r="X279" i="31" s="1"/>
  <c r="W294" i="31"/>
  <c r="X294" i="31" s="1"/>
  <c r="W312" i="31"/>
  <c r="X312" i="31" s="1"/>
  <c r="W327" i="31"/>
  <c r="X327" i="31" s="1"/>
  <c r="W342" i="31"/>
  <c r="X342" i="31" s="1"/>
  <c r="W360" i="31"/>
  <c r="X360" i="31" s="1"/>
  <c r="W375" i="31"/>
  <c r="X375" i="31" s="1"/>
  <c r="W390" i="31"/>
  <c r="X390" i="31" s="1"/>
  <c r="W408" i="31"/>
  <c r="X408" i="31" s="1"/>
  <c r="W423" i="31"/>
  <c r="X423" i="31" s="1"/>
  <c r="W438" i="31"/>
  <c r="X438" i="31" s="1"/>
  <c r="W456" i="31"/>
  <c r="X456" i="31" s="1"/>
  <c r="W471" i="31"/>
  <c r="X471" i="31" s="1"/>
  <c r="W26" i="31"/>
  <c r="X26" i="31" s="1"/>
  <c r="W45" i="31"/>
  <c r="X45" i="31" s="1"/>
  <c r="W63" i="31"/>
  <c r="X63" i="31" s="1"/>
  <c r="W81" i="31"/>
  <c r="X81" i="31" s="1"/>
  <c r="W99" i="31"/>
  <c r="X99" i="31" s="1"/>
  <c r="W117" i="31"/>
  <c r="X117" i="31" s="1"/>
  <c r="W135" i="31"/>
  <c r="X135" i="31" s="1"/>
  <c r="W152" i="31"/>
  <c r="X152" i="31" s="1"/>
  <c r="W169" i="31"/>
  <c r="X169" i="31" s="1"/>
  <c r="W184" i="31"/>
  <c r="X184" i="31" s="1"/>
  <c r="W200" i="31"/>
  <c r="X200" i="31" s="1"/>
  <c r="W217" i="31"/>
  <c r="X217" i="31" s="1"/>
  <c r="W232" i="31"/>
  <c r="X232" i="31" s="1"/>
  <c r="W248" i="31"/>
  <c r="X248" i="31" s="1"/>
  <c r="W265" i="31"/>
  <c r="X265" i="31" s="1"/>
  <c r="W280" i="31"/>
  <c r="X280" i="31" s="1"/>
  <c r="W296" i="31"/>
  <c r="X296" i="31" s="1"/>
  <c r="W313" i="31"/>
  <c r="X313" i="31" s="1"/>
  <c r="W328" i="31"/>
  <c r="X328" i="31" s="1"/>
  <c r="W344" i="31"/>
  <c r="X344" i="31" s="1"/>
  <c r="W361" i="31"/>
  <c r="X361" i="31" s="1"/>
  <c r="W376" i="31"/>
  <c r="X376" i="31" s="1"/>
  <c r="W392" i="31"/>
  <c r="X392" i="31" s="1"/>
  <c r="W409" i="31"/>
  <c r="X409" i="31" s="1"/>
  <c r="W424" i="31"/>
  <c r="X424" i="31" s="1"/>
  <c r="W440" i="31"/>
  <c r="X440" i="31" s="1"/>
  <c r="W457" i="31"/>
  <c r="X457" i="31" s="1"/>
  <c r="W472" i="31"/>
  <c r="X472" i="31" s="1"/>
  <c r="W488" i="31"/>
  <c r="X488" i="31" s="1"/>
  <c r="W505" i="31"/>
  <c r="X505" i="31" s="1"/>
  <c r="W520" i="31"/>
  <c r="X520" i="31" s="1"/>
  <c r="W536" i="31"/>
  <c r="X536" i="31" s="1"/>
  <c r="W553" i="31"/>
  <c r="X553" i="31" s="1"/>
  <c r="W568" i="31"/>
  <c r="X568" i="31" s="1"/>
  <c r="W584" i="31"/>
  <c r="X584" i="31" s="1"/>
  <c r="W601" i="31"/>
  <c r="X601" i="31" s="1"/>
  <c r="W616" i="31"/>
  <c r="X616" i="31" s="1"/>
  <c r="W632" i="31"/>
  <c r="W649" i="31"/>
  <c r="W664" i="31"/>
  <c r="W680" i="31"/>
  <c r="W697" i="31"/>
  <c r="W712" i="31"/>
  <c r="W728" i="31"/>
  <c r="W745" i="31"/>
  <c r="W760" i="31"/>
  <c r="W776" i="31"/>
  <c r="W793" i="31"/>
  <c r="W808" i="31"/>
  <c r="W821" i="31"/>
  <c r="W834" i="31"/>
  <c r="W848" i="31"/>
  <c r="W27" i="31"/>
  <c r="X27" i="31" s="1"/>
  <c r="W51" i="31"/>
  <c r="X51" i="31" s="1"/>
  <c r="W74" i="31"/>
  <c r="X74" i="31" s="1"/>
  <c r="W100" i="31"/>
  <c r="X100" i="31" s="1"/>
  <c r="W123" i="31"/>
  <c r="X123" i="31" s="1"/>
  <c r="W146" i="31"/>
  <c r="X146" i="31" s="1"/>
  <c r="W170" i="31"/>
  <c r="X170" i="31" s="1"/>
  <c r="W189" i="31"/>
  <c r="X189" i="31" s="1"/>
  <c r="W209" i="31"/>
  <c r="X209" i="31" s="1"/>
  <c r="W233" i="31"/>
  <c r="X233" i="31" s="1"/>
  <c r="W254" i="31"/>
  <c r="X254" i="31" s="1"/>
  <c r="W273" i="31"/>
  <c r="X273" i="31" s="1"/>
  <c r="W297" i="31"/>
  <c r="X297" i="31" s="1"/>
  <c r="W317" i="31"/>
  <c r="X317" i="31" s="1"/>
  <c r="W338" i="31"/>
  <c r="X338" i="31" s="1"/>
  <c r="W362" i="31"/>
  <c r="X362" i="31" s="1"/>
  <c r="W381" i="31"/>
  <c r="X381" i="31" s="1"/>
  <c r="W401" i="31"/>
  <c r="X401" i="31" s="1"/>
  <c r="W425" i="31"/>
  <c r="X425" i="31" s="1"/>
  <c r="W446" i="31"/>
  <c r="X446" i="31" s="1"/>
  <c r="W465" i="31"/>
  <c r="X465" i="31" s="1"/>
  <c r="W486" i="31"/>
  <c r="X486" i="31" s="1"/>
  <c r="W507" i="31"/>
  <c r="X507" i="31" s="1"/>
  <c r="W525" i="31"/>
  <c r="X525" i="31" s="1"/>
  <c r="W544" i="31"/>
  <c r="X544" i="31" s="1"/>
  <c r="W564" i="31"/>
  <c r="X564" i="31" s="1"/>
  <c r="W582" i="31"/>
  <c r="X582" i="31" s="1"/>
  <c r="W603" i="31"/>
  <c r="X603" i="31" s="1"/>
  <c r="W621" i="31"/>
  <c r="W640" i="31"/>
  <c r="W660" i="31"/>
  <c r="W678" i="31"/>
  <c r="W699" i="31"/>
  <c r="W717" i="31"/>
  <c r="W736" i="31"/>
  <c r="W756" i="31"/>
  <c r="W774" i="31"/>
  <c r="W795" i="31"/>
  <c r="W813" i="31"/>
  <c r="W828" i="31"/>
  <c r="W843" i="31"/>
  <c r="W860" i="31"/>
  <c r="W874" i="31"/>
  <c r="W888" i="31"/>
  <c r="W902" i="31"/>
  <c r="W916" i="31"/>
  <c r="W28" i="31"/>
  <c r="X28" i="31" s="1"/>
  <c r="W52" i="31"/>
  <c r="X52" i="31" s="1"/>
  <c r="W75" i="31"/>
  <c r="X75" i="31" s="1"/>
  <c r="W101" i="31"/>
  <c r="X101" i="31" s="1"/>
  <c r="W124" i="31"/>
  <c r="X124" i="31" s="1"/>
  <c r="W147" i="31"/>
  <c r="X147" i="31" s="1"/>
  <c r="W171" i="31"/>
  <c r="X171" i="31" s="1"/>
  <c r="W192" i="31"/>
  <c r="X192" i="31" s="1"/>
  <c r="W210" i="31"/>
  <c r="X210" i="31" s="1"/>
  <c r="W234" i="31"/>
  <c r="X234" i="31" s="1"/>
  <c r="W255" i="31"/>
  <c r="X255" i="31" s="1"/>
  <c r="W276" i="31"/>
  <c r="X276" i="31" s="1"/>
  <c r="W300" i="31"/>
  <c r="X300" i="31" s="1"/>
  <c r="W318" i="31"/>
  <c r="X318" i="31" s="1"/>
  <c r="W339" i="31"/>
  <c r="X339" i="31" s="1"/>
  <c r="W363" i="31"/>
  <c r="X363" i="31" s="1"/>
  <c r="W384" i="31"/>
  <c r="X384" i="31" s="1"/>
  <c r="W402" i="31"/>
  <c r="X402" i="31" s="1"/>
  <c r="W426" i="31"/>
  <c r="X426" i="31" s="1"/>
  <c r="W447" i="31"/>
  <c r="X447" i="31" s="1"/>
  <c r="W468" i="31"/>
  <c r="X468" i="31" s="1"/>
  <c r="W489" i="31"/>
  <c r="X489" i="31" s="1"/>
  <c r="W508" i="31"/>
  <c r="X508" i="31" s="1"/>
  <c r="W528" i="31"/>
  <c r="X528" i="31" s="1"/>
  <c r="W545" i="31"/>
  <c r="X545" i="31" s="1"/>
  <c r="W565" i="31"/>
  <c r="X565" i="31" s="1"/>
  <c r="W585" i="31"/>
  <c r="X585" i="31" s="1"/>
  <c r="W604" i="31"/>
  <c r="X604" i="31" s="1"/>
  <c r="W624" i="31"/>
  <c r="W641" i="31"/>
  <c r="W661" i="31"/>
  <c r="W681" i="31"/>
  <c r="W700" i="31"/>
  <c r="W720" i="31"/>
  <c r="W737" i="31"/>
  <c r="W757" i="31"/>
  <c r="W777" i="31"/>
  <c r="W796" i="31"/>
  <c r="W814" i="31"/>
  <c r="W829" i="31"/>
  <c r="W844" i="31"/>
  <c r="W861" i="31"/>
  <c r="W875" i="31"/>
  <c r="W889" i="31"/>
  <c r="W903" i="31"/>
  <c r="W917" i="31"/>
  <c r="W54" i="31"/>
  <c r="X54" i="31" s="1"/>
  <c r="W365" i="31"/>
  <c r="X365" i="31" s="1"/>
  <c r="W429" i="31"/>
  <c r="X429" i="31" s="1"/>
  <c r="W473" i="31"/>
  <c r="X473" i="31" s="1"/>
  <c r="W493" i="31"/>
  <c r="X493" i="31" s="1"/>
  <c r="W530" i="31"/>
  <c r="X530" i="31" s="1"/>
  <c r="W548" i="31"/>
  <c r="X548" i="31" s="1"/>
  <c r="W589" i="31"/>
  <c r="X589" i="31" s="1"/>
  <c r="W606" i="31"/>
  <c r="X606" i="31" s="1"/>
  <c r="W626" i="31"/>
  <c r="W665" i="31"/>
  <c r="W685" i="31"/>
  <c r="W702" i="31"/>
  <c r="W740" i="31"/>
  <c r="W761" i="31"/>
  <c r="W781" i="31"/>
  <c r="W816" i="31"/>
  <c r="W831" i="31"/>
  <c r="W849" i="31"/>
  <c r="W863" i="31"/>
  <c r="W891" i="31"/>
  <c r="W905" i="31"/>
  <c r="W920" i="31"/>
  <c r="W57" i="31"/>
  <c r="X57" i="31" s="1"/>
  <c r="W174" i="31"/>
  <c r="X174" i="31" s="1"/>
  <c r="W219" i="31"/>
  <c r="X219" i="31" s="1"/>
  <c r="W258" i="31"/>
  <c r="X258" i="31" s="1"/>
  <c r="W282" i="31"/>
  <c r="X282" i="31" s="1"/>
  <c r="W324" i="31"/>
  <c r="X324" i="31" s="1"/>
  <c r="W366" i="31"/>
  <c r="X366" i="31" s="1"/>
  <c r="W387" i="31"/>
  <c r="X387" i="31" s="1"/>
  <c r="W432" i="31"/>
  <c r="X432" i="31" s="1"/>
  <c r="W450" i="31"/>
  <c r="X450" i="31" s="1"/>
  <c r="W494" i="31"/>
  <c r="X494" i="31" s="1"/>
  <c r="W512" i="31"/>
  <c r="X512" i="31" s="1"/>
  <c r="W552" i="31"/>
  <c r="X552" i="31" s="1"/>
  <c r="W570" i="31"/>
  <c r="X570" i="31" s="1"/>
  <c r="W608" i="31"/>
  <c r="X608" i="31" s="1"/>
  <c r="W627" i="31"/>
  <c r="W648" i="31"/>
  <c r="W686" i="31"/>
  <c r="W704" i="31"/>
  <c r="W723" i="31"/>
  <c r="W762" i="31"/>
  <c r="W782" i="31"/>
  <c r="W817" i="31"/>
  <c r="W833" i="31"/>
  <c r="W850" i="31"/>
  <c r="W864" i="31"/>
  <c r="W892" i="31"/>
  <c r="W906" i="31"/>
  <c r="W30" i="31"/>
  <c r="X30" i="31" s="1"/>
  <c r="W53" i="31"/>
  <c r="X53" i="31" s="1"/>
  <c r="W76" i="31"/>
  <c r="X76" i="31" s="1"/>
  <c r="W102" i="31"/>
  <c r="X102" i="31" s="1"/>
  <c r="W125" i="31"/>
  <c r="X125" i="31" s="1"/>
  <c r="W148" i="31"/>
  <c r="X148" i="31" s="1"/>
  <c r="W172" i="31"/>
  <c r="X172" i="31" s="1"/>
  <c r="W193" i="31"/>
  <c r="X193" i="31" s="1"/>
  <c r="W212" i="31"/>
  <c r="X212" i="31" s="1"/>
  <c r="W236" i="31"/>
  <c r="X236" i="31" s="1"/>
  <c r="W256" i="31"/>
  <c r="X256" i="31" s="1"/>
  <c r="W277" i="31"/>
  <c r="X277" i="31" s="1"/>
  <c r="W301" i="31"/>
  <c r="X301" i="31" s="1"/>
  <c r="W320" i="31"/>
  <c r="X320" i="31" s="1"/>
  <c r="W340" i="31"/>
  <c r="X340" i="31" s="1"/>
  <c r="W364" i="31"/>
  <c r="X364" i="31" s="1"/>
  <c r="W385" i="31"/>
  <c r="X385" i="31" s="1"/>
  <c r="W404" i="31"/>
  <c r="X404" i="31" s="1"/>
  <c r="W428" i="31"/>
  <c r="X428" i="31" s="1"/>
  <c r="W448" i="31"/>
  <c r="X448" i="31" s="1"/>
  <c r="W469" i="31"/>
  <c r="X469" i="31" s="1"/>
  <c r="W492" i="31"/>
  <c r="X492" i="31" s="1"/>
  <c r="W509" i="31"/>
  <c r="X509" i="31" s="1"/>
  <c r="W529" i="31"/>
  <c r="X529" i="31" s="1"/>
  <c r="W546" i="31"/>
  <c r="X546" i="31" s="1"/>
  <c r="W567" i="31"/>
  <c r="X567" i="31" s="1"/>
  <c r="W588" i="31"/>
  <c r="X588" i="31" s="1"/>
  <c r="W605" i="31"/>
  <c r="X605" i="31" s="1"/>
  <c r="W625" i="31"/>
  <c r="W642" i="31"/>
  <c r="W663" i="31"/>
  <c r="W684" i="31"/>
  <c r="W701" i="31"/>
  <c r="W721" i="31"/>
  <c r="W738" i="31"/>
  <c r="W759" i="31"/>
  <c r="W780" i="31"/>
  <c r="W797" i="31"/>
  <c r="W815" i="31"/>
  <c r="W830" i="31"/>
  <c r="W846" i="31"/>
  <c r="W862" i="31"/>
  <c r="W876" i="31"/>
  <c r="W890" i="31"/>
  <c r="W904" i="31"/>
  <c r="W918" i="31"/>
  <c r="W33" i="31"/>
  <c r="X33" i="31" s="1"/>
  <c r="W84" i="31"/>
  <c r="X84" i="31" s="1"/>
  <c r="W105" i="31"/>
  <c r="X105" i="31" s="1"/>
  <c r="W126" i="31"/>
  <c r="X126" i="31" s="1"/>
  <c r="W153" i="31"/>
  <c r="X153" i="31" s="1"/>
  <c r="W173" i="31"/>
  <c r="X173" i="31" s="1"/>
  <c r="W194" i="31"/>
  <c r="X194" i="31" s="1"/>
  <c r="W218" i="31"/>
  <c r="X218" i="31" s="1"/>
  <c r="W237" i="31"/>
  <c r="X237" i="31" s="1"/>
  <c r="W257" i="31"/>
  <c r="X257" i="31" s="1"/>
  <c r="W281" i="31"/>
  <c r="X281" i="31" s="1"/>
  <c r="W302" i="31"/>
  <c r="X302" i="31" s="1"/>
  <c r="W321" i="31"/>
  <c r="X321" i="31" s="1"/>
  <c r="W345" i="31"/>
  <c r="X345" i="31" s="1"/>
  <c r="W386" i="31"/>
  <c r="X386" i="31" s="1"/>
  <c r="W410" i="31"/>
  <c r="X410" i="31" s="1"/>
  <c r="W449" i="31"/>
  <c r="X449" i="31" s="1"/>
  <c r="W510" i="31"/>
  <c r="X510" i="31" s="1"/>
  <c r="W569" i="31"/>
  <c r="X569" i="31" s="1"/>
  <c r="W644" i="31"/>
  <c r="W722" i="31"/>
  <c r="W798" i="31"/>
  <c r="W877" i="31"/>
  <c r="W36" i="31"/>
  <c r="X36" i="31" s="1"/>
  <c r="W85" i="31"/>
  <c r="X85" i="31" s="1"/>
  <c r="W108" i="31"/>
  <c r="X108" i="31" s="1"/>
  <c r="W129" i="31"/>
  <c r="X129" i="31" s="1"/>
  <c r="W156" i="31"/>
  <c r="X156" i="31" s="1"/>
  <c r="W195" i="31"/>
  <c r="X195" i="31" s="1"/>
  <c r="W240" i="31"/>
  <c r="X240" i="31" s="1"/>
  <c r="W303" i="31"/>
  <c r="X303" i="31" s="1"/>
  <c r="W348" i="31"/>
  <c r="X348" i="31" s="1"/>
  <c r="W411" i="31"/>
  <c r="X411" i="31" s="1"/>
  <c r="W474" i="31"/>
  <c r="X474" i="31" s="1"/>
  <c r="W531" i="31"/>
  <c r="X531" i="31" s="1"/>
  <c r="W590" i="31"/>
  <c r="X590" i="31" s="1"/>
  <c r="W666" i="31"/>
  <c r="W744" i="31"/>
  <c r="W800" i="31"/>
  <c r="W37" i="31"/>
  <c r="X37" i="31" s="1"/>
  <c r="W72" i="31"/>
  <c r="X72" i="31" s="1"/>
  <c r="W112" i="31"/>
  <c r="X112" i="31" s="1"/>
  <c r="W158" i="31"/>
  <c r="X158" i="31" s="1"/>
  <c r="W188" i="31"/>
  <c r="X188" i="31" s="1"/>
  <c r="W225" i="31"/>
  <c r="X225" i="31" s="1"/>
  <c r="W267" i="31"/>
  <c r="X267" i="31" s="1"/>
  <c r="W304" i="31"/>
  <c r="X304" i="31" s="1"/>
  <c r="W336" i="31"/>
  <c r="X336" i="31" s="1"/>
  <c r="W373" i="31"/>
  <c r="X373" i="31" s="1"/>
  <c r="W413" i="31"/>
  <c r="X413" i="31" s="1"/>
  <c r="W445" i="31"/>
  <c r="X445" i="31" s="1"/>
  <c r="W482" i="31"/>
  <c r="X482" i="31" s="1"/>
  <c r="W517" i="31"/>
  <c r="X517" i="31" s="1"/>
  <c r="W554" i="31"/>
  <c r="X554" i="31" s="1"/>
  <c r="W579" i="31"/>
  <c r="X579" i="31" s="1"/>
  <c r="W615" i="31"/>
  <c r="X615" i="31" s="1"/>
  <c r="W651" i="31"/>
  <c r="W676" i="31"/>
  <c r="W713" i="31"/>
  <c r="W748" i="31"/>
  <c r="W783" i="31"/>
  <c r="W810" i="31"/>
  <c r="W839" i="31"/>
  <c r="W866" i="31"/>
  <c r="W886" i="31"/>
  <c r="W912" i="31"/>
  <c r="W40" i="31"/>
  <c r="X40" i="31" s="1"/>
  <c r="W786" i="31"/>
  <c r="W48" i="31"/>
  <c r="X48" i="31" s="1"/>
  <c r="W162" i="31"/>
  <c r="X162" i="31" s="1"/>
  <c r="W205" i="31"/>
  <c r="X205" i="31" s="1"/>
  <c r="W314" i="31"/>
  <c r="X314" i="31" s="1"/>
  <c r="W351" i="31"/>
  <c r="X351" i="31" s="1"/>
  <c r="W460" i="31"/>
  <c r="X460" i="31" s="1"/>
  <c r="W496" i="31"/>
  <c r="X496" i="31" s="1"/>
  <c r="W558" i="31"/>
  <c r="X558" i="31" s="1"/>
  <c r="W628" i="31"/>
  <c r="W726" i="31"/>
  <c r="W822" i="31"/>
  <c r="W896" i="31"/>
  <c r="W136" i="31"/>
  <c r="X136" i="31" s="1"/>
  <c r="W315" i="31"/>
  <c r="X315" i="31" s="1"/>
  <c r="W421" i="31"/>
  <c r="X421" i="31" s="1"/>
  <c r="W532" i="31"/>
  <c r="X532" i="31" s="1"/>
  <c r="W630" i="31"/>
  <c r="W692" i="31"/>
  <c r="W792" i="31"/>
  <c r="W873" i="31"/>
  <c r="W137" i="31"/>
  <c r="X137" i="31" s="1"/>
  <c r="W176" i="31"/>
  <c r="X176" i="31" s="1"/>
  <c r="W207" i="31"/>
  <c r="X207" i="31" s="1"/>
  <c r="W244" i="31"/>
  <c r="X244" i="31" s="1"/>
  <c r="W285" i="31"/>
  <c r="X285" i="31" s="1"/>
  <c r="W353" i="31"/>
  <c r="X353" i="31" s="1"/>
  <c r="W396" i="31"/>
  <c r="X396" i="31" s="1"/>
  <c r="W462" i="31"/>
  <c r="X462" i="31" s="1"/>
  <c r="W498" i="31"/>
  <c r="X498" i="31" s="1"/>
  <c r="W561" i="31"/>
  <c r="X561" i="31" s="1"/>
  <c r="W596" i="31"/>
  <c r="X596" i="31" s="1"/>
  <c r="W668" i="31"/>
  <c r="W696" i="31"/>
  <c r="W765" i="31"/>
  <c r="W825" i="31"/>
  <c r="W853" i="31"/>
  <c r="W899" i="31"/>
  <c r="W93" i="31"/>
  <c r="X93" i="31" s="1"/>
  <c r="W208" i="31"/>
  <c r="X208" i="31" s="1"/>
  <c r="W288" i="31"/>
  <c r="X288" i="31" s="1"/>
  <c r="W354" i="31"/>
  <c r="X354" i="31" s="1"/>
  <c r="W397" i="31"/>
  <c r="X397" i="31" s="1"/>
  <c r="W464" i="31"/>
  <c r="X464" i="31" s="1"/>
  <c r="W537" i="31"/>
  <c r="X537" i="31" s="1"/>
  <c r="W600" i="31"/>
  <c r="X600" i="31" s="1"/>
  <c r="W636" i="31"/>
  <c r="W698" i="31"/>
  <c r="W733" i="31"/>
  <c r="W768" i="31"/>
  <c r="W826" i="31"/>
  <c r="W854" i="31"/>
  <c r="W879" i="31"/>
  <c r="W64" i="31"/>
  <c r="X64" i="31" s="1"/>
  <c r="W398" i="31"/>
  <c r="X398" i="31" s="1"/>
  <c r="W504" i="31"/>
  <c r="X504" i="31" s="1"/>
  <c r="W637" i="31"/>
  <c r="W672" i="31"/>
  <c r="W769" i="31"/>
  <c r="W804" i="31"/>
  <c r="W855" i="31"/>
  <c r="W901" i="31"/>
  <c r="W144" i="31"/>
  <c r="X144" i="31" s="1"/>
  <c r="W290" i="31"/>
  <c r="X290" i="31" s="1"/>
  <c r="W38" i="31"/>
  <c r="X38" i="31" s="1"/>
  <c r="W73" i="31"/>
  <c r="X73" i="31" s="1"/>
  <c r="W120" i="31"/>
  <c r="X120" i="31" s="1"/>
  <c r="W159" i="31"/>
  <c r="X159" i="31" s="1"/>
  <c r="W196" i="31"/>
  <c r="X196" i="31" s="1"/>
  <c r="W228" i="31"/>
  <c r="X228" i="31" s="1"/>
  <c r="W268" i="31"/>
  <c r="X268" i="31" s="1"/>
  <c r="W305" i="31"/>
  <c r="X305" i="31" s="1"/>
  <c r="W337" i="31"/>
  <c r="X337" i="31" s="1"/>
  <c r="W377" i="31"/>
  <c r="X377" i="31" s="1"/>
  <c r="W414" i="31"/>
  <c r="X414" i="31" s="1"/>
  <c r="W452" i="31"/>
  <c r="X452" i="31" s="1"/>
  <c r="W483" i="31"/>
  <c r="X483" i="31" s="1"/>
  <c r="W519" i="31"/>
  <c r="X519" i="31" s="1"/>
  <c r="W555" i="31"/>
  <c r="X555" i="31" s="1"/>
  <c r="W580" i="31"/>
  <c r="X580" i="31" s="1"/>
  <c r="W617" i="31"/>
  <c r="X617" i="31" s="1"/>
  <c r="W652" i="31"/>
  <c r="W687" i="31"/>
  <c r="W714" i="31"/>
  <c r="W749" i="31"/>
  <c r="W784" i="31"/>
  <c r="W812" i="31"/>
  <c r="W840" i="31"/>
  <c r="W867" i="31"/>
  <c r="W887" i="31"/>
  <c r="W913" i="31"/>
  <c r="W122" i="31"/>
  <c r="X122" i="31" s="1"/>
  <c r="W161" i="31"/>
  <c r="X161" i="31" s="1"/>
  <c r="W241" i="31"/>
  <c r="X241" i="31" s="1"/>
  <c r="W308" i="31"/>
  <c r="X308" i="31" s="1"/>
  <c r="W380" i="31"/>
  <c r="X380" i="31" s="1"/>
  <c r="W459" i="31"/>
  <c r="X459" i="31" s="1"/>
  <c r="W522" i="31"/>
  <c r="X522" i="31" s="1"/>
  <c r="W592" i="31"/>
  <c r="X592" i="31" s="1"/>
  <c r="W654" i="31"/>
  <c r="W724" i="31"/>
  <c r="W820" i="31"/>
  <c r="W869" i="31"/>
  <c r="W915" i="31"/>
  <c r="W132" i="31"/>
  <c r="X132" i="31" s="1"/>
  <c r="W242" i="31"/>
  <c r="X242" i="31" s="1"/>
  <c r="W388" i="31"/>
  <c r="X388" i="31" s="1"/>
  <c r="W524" i="31"/>
  <c r="X524" i="31" s="1"/>
  <c r="W656" i="31"/>
  <c r="W753" i="31"/>
  <c r="W851" i="31"/>
  <c r="W49" i="31"/>
  <c r="X49" i="31" s="1"/>
  <c r="W206" i="31"/>
  <c r="X206" i="31" s="1"/>
  <c r="W284" i="31"/>
  <c r="X284" i="31" s="1"/>
  <c r="W393" i="31"/>
  <c r="X393" i="31" s="1"/>
  <c r="W497" i="31"/>
  <c r="X497" i="31" s="1"/>
  <c r="W594" i="31"/>
  <c r="X594" i="31" s="1"/>
  <c r="W729" i="31"/>
  <c r="W824" i="31"/>
  <c r="W897" i="31"/>
  <c r="W50" i="31"/>
  <c r="X50" i="31" s="1"/>
  <c r="W316" i="31"/>
  <c r="X316" i="31" s="1"/>
  <c r="W433" i="31"/>
  <c r="X433" i="31" s="1"/>
  <c r="W534" i="31"/>
  <c r="X534" i="31" s="1"/>
  <c r="W633" i="31"/>
  <c r="W732" i="31"/>
  <c r="W794" i="31"/>
  <c r="W878" i="31"/>
  <c r="W60" i="31"/>
  <c r="X60" i="31" s="1"/>
  <c r="W138" i="31"/>
  <c r="X138" i="31" s="1"/>
  <c r="W177" i="31"/>
  <c r="X177" i="31" s="1"/>
  <c r="W249" i="31"/>
  <c r="X249" i="31" s="1"/>
  <c r="W325" i="31"/>
  <c r="X325" i="31" s="1"/>
  <c r="W434" i="31"/>
  <c r="X434" i="31" s="1"/>
  <c r="W500" i="31"/>
  <c r="X500" i="31" s="1"/>
  <c r="W572" i="31"/>
  <c r="X572" i="31" s="1"/>
  <c r="W669" i="31"/>
  <c r="W801" i="31"/>
  <c r="W900" i="31"/>
  <c r="W141" i="31"/>
  <c r="X141" i="31" s="1"/>
  <c r="W220" i="31"/>
  <c r="X220" i="31" s="1"/>
  <c r="W289" i="31"/>
  <c r="X289" i="31" s="1"/>
  <c r="W356" i="31"/>
  <c r="X356" i="31" s="1"/>
  <c r="W476" i="31"/>
  <c r="X476" i="31" s="1"/>
  <c r="W573" i="31"/>
  <c r="X573" i="31" s="1"/>
  <c r="W705" i="31"/>
  <c r="W827" i="31"/>
  <c r="W109" i="31"/>
  <c r="X109" i="31" s="1"/>
  <c r="W221" i="31"/>
  <c r="X221" i="31" s="1"/>
  <c r="W39" i="31"/>
  <c r="X39" i="31" s="1"/>
  <c r="W86" i="31"/>
  <c r="X86" i="31" s="1"/>
  <c r="W121" i="31"/>
  <c r="X121" i="31" s="1"/>
  <c r="W160" i="31"/>
  <c r="X160" i="31" s="1"/>
  <c r="W201" i="31"/>
  <c r="X201" i="31" s="1"/>
  <c r="W229" i="31"/>
  <c r="X229" i="31" s="1"/>
  <c r="W269" i="31"/>
  <c r="X269" i="31" s="1"/>
  <c r="W306" i="31"/>
  <c r="X306" i="31" s="1"/>
  <c r="W349" i="31"/>
  <c r="X349" i="31" s="1"/>
  <c r="W378" i="31"/>
  <c r="X378" i="31" s="1"/>
  <c r="W416" i="31"/>
  <c r="X416" i="31" s="1"/>
  <c r="W458" i="31"/>
  <c r="X458" i="31" s="1"/>
  <c r="W484" i="31"/>
  <c r="X484" i="31" s="1"/>
  <c r="W521" i="31"/>
  <c r="X521" i="31" s="1"/>
  <c r="W556" i="31"/>
  <c r="X556" i="31" s="1"/>
  <c r="W591" i="31"/>
  <c r="X591" i="31" s="1"/>
  <c r="W618" i="31"/>
  <c r="X618" i="31" s="1"/>
  <c r="W653" i="31"/>
  <c r="W688" i="31"/>
  <c r="W716" i="31"/>
  <c r="W750" i="31"/>
  <c r="W785" i="31"/>
  <c r="W818" i="31"/>
  <c r="W841" i="31"/>
  <c r="W868" i="31"/>
  <c r="W893" i="31"/>
  <c r="W914" i="31"/>
  <c r="W87" i="31"/>
  <c r="X87" i="31" s="1"/>
  <c r="W204" i="31"/>
  <c r="X204" i="31" s="1"/>
  <c r="W270" i="31"/>
  <c r="X270" i="31" s="1"/>
  <c r="W350" i="31"/>
  <c r="X350" i="31" s="1"/>
  <c r="W417" i="31"/>
  <c r="X417" i="31" s="1"/>
  <c r="W495" i="31"/>
  <c r="X495" i="31" s="1"/>
  <c r="W557" i="31"/>
  <c r="X557" i="31" s="1"/>
  <c r="W620" i="31"/>
  <c r="X620" i="31" s="1"/>
  <c r="W689" i="31"/>
  <c r="W752" i="31"/>
  <c r="W842" i="31"/>
  <c r="W894" i="31"/>
  <c r="W88" i="31"/>
  <c r="X88" i="31" s="1"/>
  <c r="W272" i="31"/>
  <c r="X272" i="31" s="1"/>
  <c r="W420" i="31"/>
  <c r="X420" i="31" s="1"/>
  <c r="W593" i="31"/>
  <c r="X593" i="31" s="1"/>
  <c r="W690" i="31"/>
  <c r="W788" i="31"/>
  <c r="W870" i="31"/>
  <c r="W89" i="31"/>
  <c r="X89" i="31" s="1"/>
  <c r="W164" i="31"/>
  <c r="X164" i="31" s="1"/>
  <c r="W243" i="31"/>
  <c r="X243" i="31" s="1"/>
  <c r="W352" i="31"/>
  <c r="X352" i="31" s="1"/>
  <c r="W461" i="31"/>
  <c r="X461" i="31" s="1"/>
  <c r="W560" i="31"/>
  <c r="X560" i="31" s="1"/>
  <c r="W657" i="31"/>
  <c r="W764" i="31"/>
  <c r="W852" i="31"/>
  <c r="W90" i="31"/>
  <c r="X90" i="31" s="1"/>
  <c r="W96" i="31"/>
  <c r="X96" i="31" s="1"/>
  <c r="W180" i="31"/>
  <c r="X180" i="31" s="1"/>
  <c r="W252" i="31"/>
  <c r="X252" i="31" s="1"/>
  <c r="W329" i="31"/>
  <c r="X329" i="31" s="1"/>
  <c r="W435" i="31"/>
  <c r="X435" i="31" s="1"/>
  <c r="W540" i="31"/>
  <c r="X540" i="31" s="1"/>
  <c r="W602" i="31"/>
  <c r="X602" i="31" s="1"/>
  <c r="W734" i="31"/>
  <c r="W880" i="31"/>
  <c r="W65" i="31"/>
  <c r="X65" i="31" s="1"/>
  <c r="W181" i="31"/>
  <c r="X181" i="31" s="1"/>
  <c r="W253" i="31"/>
  <c r="X253" i="31" s="1"/>
  <c r="W368" i="31"/>
  <c r="X368" i="31" s="1"/>
  <c r="W66" i="31"/>
  <c r="X66" i="31" s="1"/>
  <c r="W291" i="31"/>
  <c r="X291" i="31" s="1"/>
  <c r="W444" i="31"/>
  <c r="X444" i="31" s="1"/>
  <c r="W578" i="31"/>
  <c r="X578" i="31" s="1"/>
  <c r="W711" i="31"/>
  <c r="W838" i="31"/>
  <c r="W513" i="31"/>
  <c r="X513" i="31" s="1"/>
  <c r="W69" i="31"/>
  <c r="X69" i="31" s="1"/>
  <c r="W292" i="31"/>
  <c r="X292" i="31" s="1"/>
  <c r="W477" i="31"/>
  <c r="X477" i="31" s="1"/>
  <c r="W609" i="31"/>
  <c r="X609" i="31" s="1"/>
  <c r="W735" i="31"/>
  <c r="W856" i="31"/>
  <c r="W110" i="31"/>
  <c r="X110" i="31" s="1"/>
  <c r="W330" i="31"/>
  <c r="X330" i="31" s="1"/>
  <c r="W480" i="31"/>
  <c r="X480" i="31" s="1"/>
  <c r="W612" i="31"/>
  <c r="X612" i="31" s="1"/>
  <c r="W746" i="31"/>
  <c r="W857" i="31"/>
  <c r="W111" i="31"/>
  <c r="X111" i="31" s="1"/>
  <c r="W332" i="31"/>
  <c r="X332" i="31" s="1"/>
  <c r="W481" i="31"/>
  <c r="X481" i="31" s="1"/>
  <c r="W613" i="31"/>
  <c r="X613" i="31" s="1"/>
  <c r="W747" i="31"/>
  <c r="W865" i="31"/>
  <c r="W145" i="31"/>
  <c r="X145" i="31" s="1"/>
  <c r="W333" i="31"/>
  <c r="X333" i="31" s="1"/>
  <c r="W506" i="31"/>
  <c r="X506" i="31" s="1"/>
  <c r="W638" i="31"/>
  <c r="W770" i="31"/>
  <c r="W881" i="31"/>
  <c r="W157" i="31"/>
  <c r="X157" i="31" s="1"/>
  <c r="W639" i="31"/>
  <c r="W771" i="31"/>
  <c r="W882" i="31"/>
  <c r="W372" i="31"/>
  <c r="X372" i="31" s="1"/>
  <c r="W516" i="31"/>
  <c r="X516" i="31" s="1"/>
  <c r="W650" i="31"/>
  <c r="W772" i="31"/>
  <c r="W884" i="31"/>
  <c r="W399" i="31"/>
  <c r="X399" i="31" s="1"/>
  <c r="W673" i="31"/>
  <c r="W805" i="31"/>
  <c r="W400" i="31"/>
  <c r="X400" i="31" s="1"/>
  <c r="W542" i="31"/>
  <c r="X542" i="31" s="1"/>
  <c r="W674" i="31"/>
  <c r="W807" i="31"/>
  <c r="W412" i="31"/>
  <c r="X412" i="31" s="1"/>
  <c r="W543" i="31"/>
  <c r="X543" i="31" s="1"/>
  <c r="W675" i="31"/>
  <c r="W809" i="31"/>
  <c r="W910" i="31"/>
  <c r="W436" i="31"/>
  <c r="X436" i="31" s="1"/>
  <c r="W708" i="31"/>
  <c r="W266" i="31"/>
  <c r="X266" i="31" s="1"/>
  <c r="W441" i="31"/>
  <c r="X441" i="31" s="1"/>
  <c r="W577" i="31"/>
  <c r="X577" i="31" s="1"/>
  <c r="W709" i="31"/>
  <c r="W837" i="31"/>
  <c r="W369" i="31"/>
  <c r="X369" i="31" s="1"/>
  <c r="W185" i="31"/>
  <c r="X185" i="31" s="1"/>
  <c r="W186" i="31"/>
  <c r="X186" i="31" s="1"/>
  <c r="W541" i="31"/>
  <c r="X541" i="31" s="1"/>
  <c r="W908" i="31"/>
  <c r="W222" i="31"/>
  <c r="X222" i="31" s="1"/>
  <c r="W909" i="31"/>
  <c r="W224" i="31"/>
  <c r="X224" i="31" s="1"/>
  <c r="W260" i="31"/>
  <c r="X260" i="31" s="1"/>
  <c r="W576" i="31"/>
  <c r="X576" i="31" s="1"/>
  <c r="W836" i="31"/>
  <c r="AA22" i="31"/>
  <c r="AB22" i="31" s="1"/>
  <c r="AA34" i="31"/>
  <c r="AB34" i="31" s="1"/>
  <c r="AA46" i="31"/>
  <c r="AB46" i="31" s="1"/>
  <c r="AA58" i="31"/>
  <c r="AB58" i="31" s="1"/>
  <c r="AA70" i="31"/>
  <c r="AB70" i="31" s="1"/>
  <c r="AA24" i="31"/>
  <c r="AB24" i="31" s="1"/>
  <c r="AA36" i="31"/>
  <c r="AB36" i="31" s="1"/>
  <c r="AA48" i="31"/>
  <c r="AB48" i="31" s="1"/>
  <c r="AA60" i="31"/>
  <c r="AB60" i="31" s="1"/>
  <c r="AA72" i="31"/>
  <c r="AB72" i="31" s="1"/>
  <c r="AA84" i="31"/>
  <c r="AB84" i="31" s="1"/>
  <c r="AA96" i="31"/>
  <c r="AB96" i="31" s="1"/>
  <c r="AA108" i="31"/>
  <c r="AB108" i="31" s="1"/>
  <c r="AA120" i="31"/>
  <c r="AB120" i="31" s="1"/>
  <c r="AA132" i="31"/>
  <c r="AB132" i="31" s="1"/>
  <c r="AA144" i="31"/>
  <c r="AB144" i="31" s="1"/>
  <c r="AA156" i="31"/>
  <c r="AB156" i="31" s="1"/>
  <c r="AA168" i="31"/>
  <c r="AB168" i="31" s="1"/>
  <c r="AA180" i="31"/>
  <c r="AB180" i="31" s="1"/>
  <c r="AA192" i="31"/>
  <c r="AB192" i="31" s="1"/>
  <c r="AA204" i="31"/>
  <c r="AB204" i="31" s="1"/>
  <c r="AA216" i="31"/>
  <c r="AB216" i="31" s="1"/>
  <c r="AA228" i="31"/>
  <c r="AB228" i="31" s="1"/>
  <c r="AA240" i="31"/>
  <c r="AB240" i="31" s="1"/>
  <c r="AA252" i="31"/>
  <c r="AB252" i="31" s="1"/>
  <c r="AA264" i="31"/>
  <c r="AB264" i="31" s="1"/>
  <c r="AA276" i="31"/>
  <c r="AB276" i="31" s="1"/>
  <c r="AA288" i="31"/>
  <c r="AB288" i="31" s="1"/>
  <c r="AA300" i="31"/>
  <c r="AB300" i="31" s="1"/>
  <c r="AA312" i="31"/>
  <c r="AB312" i="31" s="1"/>
  <c r="AA324" i="31"/>
  <c r="AB324" i="31" s="1"/>
  <c r="AA336" i="31"/>
  <c r="AB336" i="31" s="1"/>
  <c r="AA348" i="31"/>
  <c r="AB348" i="31" s="1"/>
  <c r="AA360" i="31"/>
  <c r="AB360" i="31" s="1"/>
  <c r="AA372" i="31"/>
  <c r="AB372" i="31" s="1"/>
  <c r="AA384" i="31"/>
  <c r="AB384" i="31" s="1"/>
  <c r="AA396" i="31"/>
  <c r="AB396" i="31" s="1"/>
  <c r="AA408" i="31"/>
  <c r="AB408" i="31" s="1"/>
  <c r="AA420" i="31"/>
  <c r="AB420" i="31" s="1"/>
  <c r="AA432" i="31"/>
  <c r="AB432" i="31" s="1"/>
  <c r="AA444" i="31"/>
  <c r="AB444" i="31" s="1"/>
  <c r="AA456" i="31"/>
  <c r="AB456" i="31" s="1"/>
  <c r="AA468" i="31"/>
  <c r="AB468" i="31" s="1"/>
  <c r="AA480" i="31"/>
  <c r="AB480" i="31" s="1"/>
  <c r="AA492" i="31"/>
  <c r="AB492" i="31" s="1"/>
  <c r="AA504" i="31"/>
  <c r="AB504" i="31" s="1"/>
  <c r="AA516" i="31"/>
  <c r="AB516" i="31" s="1"/>
  <c r="AA528" i="31"/>
  <c r="AB528" i="31" s="1"/>
  <c r="AA540" i="31"/>
  <c r="AB540" i="31" s="1"/>
  <c r="AA552" i="31"/>
  <c r="AB552" i="31" s="1"/>
  <c r="AA564" i="31"/>
  <c r="AB564" i="31" s="1"/>
  <c r="AA576" i="31"/>
  <c r="AB576" i="31" s="1"/>
  <c r="AA588" i="31"/>
  <c r="AB588" i="31" s="1"/>
  <c r="AA600" i="31"/>
  <c r="AB600" i="31" s="1"/>
  <c r="AA612" i="31"/>
  <c r="AB612" i="31" s="1"/>
  <c r="AA624" i="31"/>
  <c r="AA636" i="31"/>
  <c r="AA648" i="31"/>
  <c r="AA660" i="31"/>
  <c r="AA672" i="31"/>
  <c r="AA684" i="31"/>
  <c r="AA696" i="31"/>
  <c r="AA708" i="31"/>
  <c r="AA720" i="31"/>
  <c r="AA732" i="31"/>
  <c r="AA744" i="31"/>
  <c r="AA756" i="31"/>
  <c r="AA768" i="31"/>
  <c r="AA780" i="31"/>
  <c r="AA792" i="31"/>
  <c r="AA804" i="31"/>
  <c r="AA816" i="31"/>
  <c r="AA828" i="31"/>
  <c r="AA840" i="31"/>
  <c r="AA852" i="31"/>
  <c r="AA864" i="31"/>
  <c r="AA876" i="31"/>
  <c r="AA888" i="31"/>
  <c r="AA900" i="31"/>
  <c r="AA912" i="31"/>
  <c r="AA25" i="31"/>
  <c r="AB25" i="31" s="1"/>
  <c r="AA37" i="31"/>
  <c r="AB37" i="31" s="1"/>
  <c r="AA49" i="31"/>
  <c r="AB49" i="31" s="1"/>
  <c r="AA61" i="31"/>
  <c r="AB61" i="31" s="1"/>
  <c r="AA73" i="31"/>
  <c r="AB73" i="31" s="1"/>
  <c r="AA85" i="31"/>
  <c r="AB85" i="31" s="1"/>
  <c r="AA97" i="31"/>
  <c r="AB97" i="31" s="1"/>
  <c r="AA109" i="31"/>
  <c r="AB109" i="31" s="1"/>
  <c r="AA121" i="31"/>
  <c r="AB121" i="31" s="1"/>
  <c r="AA133" i="31"/>
  <c r="AB133" i="31" s="1"/>
  <c r="AA26" i="31"/>
  <c r="AB26" i="31" s="1"/>
  <c r="AA41" i="31"/>
  <c r="AB41" i="31" s="1"/>
  <c r="AA56" i="31"/>
  <c r="AB56" i="31" s="1"/>
  <c r="AA74" i="31"/>
  <c r="AB74" i="31" s="1"/>
  <c r="AA88" i="31"/>
  <c r="AB88" i="31" s="1"/>
  <c r="AA102" i="31"/>
  <c r="AB102" i="31" s="1"/>
  <c r="AA116" i="31"/>
  <c r="AB116" i="31" s="1"/>
  <c r="AA130" i="31"/>
  <c r="AB130" i="31" s="1"/>
  <c r="AA145" i="31"/>
  <c r="AB145" i="31" s="1"/>
  <c r="AA158" i="31"/>
  <c r="AB158" i="31" s="1"/>
  <c r="AA171" i="31"/>
  <c r="AB171" i="31" s="1"/>
  <c r="AA184" i="31"/>
  <c r="AB184" i="31" s="1"/>
  <c r="AA197" i="31"/>
  <c r="AB197" i="31" s="1"/>
  <c r="AA210" i="31"/>
  <c r="AB210" i="31" s="1"/>
  <c r="AA223" i="31"/>
  <c r="AB223" i="31" s="1"/>
  <c r="AA236" i="31"/>
  <c r="AB236" i="31" s="1"/>
  <c r="AA249" i="31"/>
  <c r="AB249" i="31" s="1"/>
  <c r="AA262" i="31"/>
  <c r="AB262" i="31" s="1"/>
  <c r="AA275" i="31"/>
  <c r="AB275" i="31" s="1"/>
  <c r="AA289" i="31"/>
  <c r="AB289" i="31" s="1"/>
  <c r="AA302" i="31"/>
  <c r="AB302" i="31" s="1"/>
  <c r="AA315" i="31"/>
  <c r="AB315" i="31" s="1"/>
  <c r="AA328" i="31"/>
  <c r="AB328" i="31" s="1"/>
  <c r="AA341" i="31"/>
  <c r="AB341" i="31" s="1"/>
  <c r="AA354" i="31"/>
  <c r="AB354" i="31" s="1"/>
  <c r="AA367" i="31"/>
  <c r="AB367" i="31" s="1"/>
  <c r="AA380" i="31"/>
  <c r="AB380" i="31" s="1"/>
  <c r="AA393" i="31"/>
  <c r="AB393" i="31" s="1"/>
  <c r="AA406" i="31"/>
  <c r="AB406" i="31" s="1"/>
  <c r="AA419" i="31"/>
  <c r="AB419" i="31" s="1"/>
  <c r="AA433" i="31"/>
  <c r="AB433" i="31" s="1"/>
  <c r="AA446" i="31"/>
  <c r="AB446" i="31" s="1"/>
  <c r="AA459" i="31"/>
  <c r="AB459" i="31" s="1"/>
  <c r="AA472" i="31"/>
  <c r="AB472" i="31" s="1"/>
  <c r="AA485" i="31"/>
  <c r="AB485" i="31" s="1"/>
  <c r="AA498" i="31"/>
  <c r="AB498" i="31" s="1"/>
  <c r="AA511" i="31"/>
  <c r="AB511" i="31" s="1"/>
  <c r="AA524" i="31"/>
  <c r="AB524" i="31" s="1"/>
  <c r="AA537" i="31"/>
  <c r="AB537" i="31" s="1"/>
  <c r="AA550" i="31"/>
  <c r="AB550" i="31" s="1"/>
  <c r="AA563" i="31"/>
  <c r="AB563" i="31" s="1"/>
  <c r="AA577" i="31"/>
  <c r="AB577" i="31" s="1"/>
  <c r="AA590" i="31"/>
  <c r="AB590" i="31" s="1"/>
  <c r="AA603" i="31"/>
  <c r="AB603" i="31" s="1"/>
  <c r="AA616" i="31"/>
  <c r="AB616" i="31" s="1"/>
  <c r="AA629" i="31"/>
  <c r="AA642" i="31"/>
  <c r="AA655" i="31"/>
  <c r="AA668" i="31"/>
  <c r="AA681" i="31"/>
  <c r="AA694" i="31"/>
  <c r="AA707" i="31"/>
  <c r="AA721" i="31"/>
  <c r="AA734" i="31"/>
  <c r="AA747" i="31"/>
  <c r="AA760" i="31"/>
  <c r="AA773" i="31"/>
  <c r="AA786" i="31"/>
  <c r="AA799" i="31"/>
  <c r="AA812" i="31"/>
  <c r="AA825" i="31"/>
  <c r="AA838" i="31"/>
  <c r="AA851" i="31"/>
  <c r="AA865" i="31"/>
  <c r="AA878" i="31"/>
  <c r="AA891" i="31"/>
  <c r="AA904" i="31"/>
  <c r="AA917" i="31"/>
  <c r="AA27" i="31"/>
  <c r="AB27" i="31" s="1"/>
  <c r="AA57" i="31"/>
  <c r="AB57" i="31" s="1"/>
  <c r="AA75" i="31"/>
  <c r="AB75" i="31" s="1"/>
  <c r="AA89" i="31"/>
  <c r="AB89" i="31" s="1"/>
  <c r="AA103" i="31"/>
  <c r="AB103" i="31" s="1"/>
  <c r="AA117" i="31"/>
  <c r="AB117" i="31" s="1"/>
  <c r="AA131" i="31"/>
  <c r="AB131" i="31" s="1"/>
  <c r="AA146" i="31"/>
  <c r="AB146" i="31" s="1"/>
  <c r="AA159" i="31"/>
  <c r="AB159" i="31" s="1"/>
  <c r="AA172" i="31"/>
  <c r="AB172" i="31" s="1"/>
  <c r="AA185" i="31"/>
  <c r="AB185" i="31" s="1"/>
  <c r="AA198" i="31"/>
  <c r="AB198" i="31" s="1"/>
  <c r="AA211" i="31"/>
  <c r="AB211" i="31" s="1"/>
  <c r="AA224" i="31"/>
  <c r="AB224" i="31" s="1"/>
  <c r="AA237" i="31"/>
  <c r="AB237" i="31" s="1"/>
  <c r="AA250" i="31"/>
  <c r="AB250" i="31" s="1"/>
  <c r="AA263" i="31"/>
  <c r="AB263" i="31" s="1"/>
  <c r="AA42" i="31"/>
  <c r="AB42" i="31" s="1"/>
  <c r="AA23" i="31"/>
  <c r="AB23" i="31" s="1"/>
  <c r="AA44" i="31"/>
  <c r="AB44" i="31" s="1"/>
  <c r="AA64" i="31"/>
  <c r="AB64" i="31" s="1"/>
  <c r="AA81" i="31"/>
  <c r="AB81" i="31" s="1"/>
  <c r="AA99" i="31"/>
  <c r="AB99" i="31" s="1"/>
  <c r="AA115" i="31"/>
  <c r="AB115" i="31" s="1"/>
  <c r="AA135" i="31"/>
  <c r="AB135" i="31" s="1"/>
  <c r="AA150" i="31"/>
  <c r="AB150" i="31" s="1"/>
  <c r="AA165" i="31"/>
  <c r="AB165" i="31" s="1"/>
  <c r="AA181" i="31"/>
  <c r="AB181" i="31" s="1"/>
  <c r="AA196" i="31"/>
  <c r="AB196" i="31" s="1"/>
  <c r="AA213" i="31"/>
  <c r="AB213" i="31" s="1"/>
  <c r="AA229" i="31"/>
  <c r="AB229" i="31" s="1"/>
  <c r="AA244" i="31"/>
  <c r="AB244" i="31" s="1"/>
  <c r="AA259" i="31"/>
  <c r="AB259" i="31" s="1"/>
  <c r="AA274" i="31"/>
  <c r="AB274" i="31" s="1"/>
  <c r="AA290" i="31"/>
  <c r="AB290" i="31" s="1"/>
  <c r="AA304" i="31"/>
  <c r="AB304" i="31" s="1"/>
  <c r="AA318" i="31"/>
  <c r="AB318" i="31" s="1"/>
  <c r="AA332" i="31"/>
  <c r="AB332" i="31" s="1"/>
  <c r="AA346" i="31"/>
  <c r="AB346" i="31" s="1"/>
  <c r="AA361" i="31"/>
  <c r="AB361" i="31" s="1"/>
  <c r="AA375" i="31"/>
  <c r="AB375" i="31" s="1"/>
  <c r="AA389" i="31"/>
  <c r="AB389" i="31" s="1"/>
  <c r="AA403" i="31"/>
  <c r="AB403" i="31" s="1"/>
  <c r="AA417" i="31"/>
  <c r="AB417" i="31" s="1"/>
  <c r="AA431" i="31"/>
  <c r="AB431" i="31" s="1"/>
  <c r="AA447" i="31"/>
  <c r="AB447" i="31" s="1"/>
  <c r="AA461" i="31"/>
  <c r="AB461" i="31" s="1"/>
  <c r="AA475" i="31"/>
  <c r="AB475" i="31" s="1"/>
  <c r="AA489" i="31"/>
  <c r="AB489" i="31" s="1"/>
  <c r="AA503" i="31"/>
  <c r="AB503" i="31" s="1"/>
  <c r="AA518" i="31"/>
  <c r="AB518" i="31" s="1"/>
  <c r="AA532" i="31"/>
  <c r="AB532" i="31" s="1"/>
  <c r="AA546" i="31"/>
  <c r="AB546" i="31" s="1"/>
  <c r="AA560" i="31"/>
  <c r="AB560" i="31" s="1"/>
  <c r="AA574" i="31"/>
  <c r="AB574" i="31" s="1"/>
  <c r="AA589" i="31"/>
  <c r="AB589" i="31" s="1"/>
  <c r="AA604" i="31"/>
  <c r="AB604" i="31" s="1"/>
  <c r="AA618" i="31"/>
  <c r="AB618" i="31" s="1"/>
  <c r="AA632" i="31"/>
  <c r="AA646" i="31"/>
  <c r="AA661" i="31"/>
  <c r="AA675" i="31"/>
  <c r="AA689" i="31"/>
  <c r="AA703" i="31"/>
  <c r="AA717" i="31"/>
  <c r="AA731" i="31"/>
  <c r="AA746" i="31"/>
  <c r="AA761" i="31"/>
  <c r="AA775" i="31"/>
  <c r="AA789" i="31"/>
  <c r="AA803" i="31"/>
  <c r="AA818" i="31"/>
  <c r="AA832" i="31"/>
  <c r="AA846" i="31"/>
  <c r="AA860" i="31"/>
  <c r="AA874" i="31"/>
  <c r="AA889" i="31"/>
  <c r="AA903" i="31"/>
  <c r="AA918" i="31"/>
  <c r="AA67" i="31"/>
  <c r="AB67" i="31" s="1"/>
  <c r="AA186" i="31"/>
  <c r="AB186" i="31" s="1"/>
  <c r="AA247" i="31"/>
  <c r="AB247" i="31" s="1"/>
  <c r="AA307" i="31"/>
  <c r="AB307" i="31" s="1"/>
  <c r="AA392" i="31"/>
  <c r="AB392" i="31" s="1"/>
  <c r="AA450" i="31"/>
  <c r="AB450" i="31" s="1"/>
  <c r="AA493" i="31"/>
  <c r="AB493" i="31" s="1"/>
  <c r="AA565" i="31"/>
  <c r="AB565" i="31" s="1"/>
  <c r="AA635" i="31"/>
  <c r="AA706" i="31"/>
  <c r="AA750" i="31"/>
  <c r="AA807" i="31"/>
  <c r="AA835" i="31"/>
  <c r="AA879" i="31"/>
  <c r="AA21" i="31"/>
  <c r="AA68" i="31"/>
  <c r="AB68" i="31" s="1"/>
  <c r="AA280" i="31"/>
  <c r="AB280" i="31" s="1"/>
  <c r="AA365" i="31"/>
  <c r="AB365" i="31" s="1"/>
  <c r="AA437" i="31"/>
  <c r="AB437" i="31" s="1"/>
  <c r="AA494" i="31"/>
  <c r="AB494" i="31" s="1"/>
  <c r="AA28" i="31"/>
  <c r="AB28" i="31" s="1"/>
  <c r="AA45" i="31"/>
  <c r="AB45" i="31" s="1"/>
  <c r="AA65" i="31"/>
  <c r="AB65" i="31" s="1"/>
  <c r="AA82" i="31"/>
  <c r="AB82" i="31" s="1"/>
  <c r="AA100" i="31"/>
  <c r="AB100" i="31" s="1"/>
  <c r="AA118" i="31"/>
  <c r="AB118" i="31" s="1"/>
  <c r="AA136" i="31"/>
  <c r="AB136" i="31" s="1"/>
  <c r="AA151" i="31"/>
  <c r="AB151" i="31" s="1"/>
  <c r="AA166" i="31"/>
  <c r="AB166" i="31" s="1"/>
  <c r="AA182" i="31"/>
  <c r="AB182" i="31" s="1"/>
  <c r="AA199" i="31"/>
  <c r="AB199" i="31" s="1"/>
  <c r="AA214" i="31"/>
  <c r="AB214" i="31" s="1"/>
  <c r="AA230" i="31"/>
  <c r="AB230" i="31" s="1"/>
  <c r="AA245" i="31"/>
  <c r="AB245" i="31" s="1"/>
  <c r="AA260" i="31"/>
  <c r="AB260" i="31" s="1"/>
  <c r="AA277" i="31"/>
  <c r="AB277" i="31" s="1"/>
  <c r="AA291" i="31"/>
  <c r="AB291" i="31" s="1"/>
  <c r="AA305" i="31"/>
  <c r="AB305" i="31" s="1"/>
  <c r="AA319" i="31"/>
  <c r="AB319" i="31" s="1"/>
  <c r="AA333" i="31"/>
  <c r="AB333" i="31" s="1"/>
  <c r="AA347" i="31"/>
  <c r="AB347" i="31" s="1"/>
  <c r="AA362" i="31"/>
  <c r="AB362" i="31" s="1"/>
  <c r="AA376" i="31"/>
  <c r="AB376" i="31" s="1"/>
  <c r="AA390" i="31"/>
  <c r="AB390" i="31" s="1"/>
  <c r="AA404" i="31"/>
  <c r="AB404" i="31" s="1"/>
  <c r="AA418" i="31"/>
  <c r="AB418" i="31" s="1"/>
  <c r="AA434" i="31"/>
  <c r="AB434" i="31" s="1"/>
  <c r="AA448" i="31"/>
  <c r="AB448" i="31" s="1"/>
  <c r="AA462" i="31"/>
  <c r="AB462" i="31" s="1"/>
  <c r="AA476" i="31"/>
  <c r="AB476" i="31" s="1"/>
  <c r="AA490" i="31"/>
  <c r="AB490" i="31" s="1"/>
  <c r="AA505" i="31"/>
  <c r="AB505" i="31" s="1"/>
  <c r="AA519" i="31"/>
  <c r="AB519" i="31" s="1"/>
  <c r="AA533" i="31"/>
  <c r="AB533" i="31" s="1"/>
  <c r="AA547" i="31"/>
  <c r="AB547" i="31" s="1"/>
  <c r="AA561" i="31"/>
  <c r="AB561" i="31" s="1"/>
  <c r="AA575" i="31"/>
  <c r="AB575" i="31" s="1"/>
  <c r="AA591" i="31"/>
  <c r="AB591" i="31" s="1"/>
  <c r="AA605" i="31"/>
  <c r="AB605" i="31" s="1"/>
  <c r="AA619" i="31"/>
  <c r="AB619" i="31" s="1"/>
  <c r="AA633" i="31"/>
  <c r="AA647" i="31"/>
  <c r="AA662" i="31"/>
  <c r="AA676" i="31"/>
  <c r="AA690" i="31"/>
  <c r="AA704" i="31"/>
  <c r="AA718" i="31"/>
  <c r="AA733" i="31"/>
  <c r="AA748" i="31"/>
  <c r="AA762" i="31"/>
  <c r="AA776" i="31"/>
  <c r="AA790" i="31"/>
  <c r="AA805" i="31"/>
  <c r="AA819" i="31"/>
  <c r="AA833" i="31"/>
  <c r="AA847" i="31"/>
  <c r="AA861" i="31"/>
  <c r="AA875" i="31"/>
  <c r="AA890" i="31"/>
  <c r="AA905" i="31"/>
  <c r="AA919" i="31"/>
  <c r="AA29" i="31"/>
  <c r="AB29" i="31" s="1"/>
  <c r="AA66" i="31"/>
  <c r="AB66" i="31" s="1"/>
  <c r="AA83" i="31"/>
  <c r="AB83" i="31" s="1"/>
  <c r="AA101" i="31"/>
  <c r="AB101" i="31" s="1"/>
  <c r="AA119" i="31"/>
  <c r="AB119" i="31" s="1"/>
  <c r="AA137" i="31"/>
  <c r="AB137" i="31" s="1"/>
  <c r="AA152" i="31"/>
  <c r="AB152" i="31" s="1"/>
  <c r="AA167" i="31"/>
  <c r="AB167" i="31" s="1"/>
  <c r="AA183" i="31"/>
  <c r="AB183" i="31" s="1"/>
  <c r="AA200" i="31"/>
  <c r="AB200" i="31" s="1"/>
  <c r="AA215" i="31"/>
  <c r="AB215" i="31" s="1"/>
  <c r="AA231" i="31"/>
  <c r="AB231" i="31" s="1"/>
  <c r="AA246" i="31"/>
  <c r="AB246" i="31" s="1"/>
  <c r="AA261" i="31"/>
  <c r="AB261" i="31" s="1"/>
  <c r="AA278" i="31"/>
  <c r="AB278" i="31" s="1"/>
  <c r="AA292" i="31"/>
  <c r="AB292" i="31" s="1"/>
  <c r="AA306" i="31"/>
  <c r="AB306" i="31" s="1"/>
  <c r="AA320" i="31"/>
  <c r="AB320" i="31" s="1"/>
  <c r="AA349" i="31"/>
  <c r="AB349" i="31" s="1"/>
  <c r="AA363" i="31"/>
  <c r="AB363" i="31" s="1"/>
  <c r="AA377" i="31"/>
  <c r="AB377" i="31" s="1"/>
  <c r="AA391" i="31"/>
  <c r="AB391" i="31" s="1"/>
  <c r="AA405" i="31"/>
  <c r="AB405" i="31" s="1"/>
  <c r="AA421" i="31"/>
  <c r="AB421" i="31" s="1"/>
  <c r="AA435" i="31"/>
  <c r="AB435" i="31" s="1"/>
  <c r="AA449" i="31"/>
  <c r="AB449" i="31" s="1"/>
  <c r="AA463" i="31"/>
  <c r="AB463" i="31" s="1"/>
  <c r="AA477" i="31"/>
  <c r="AB477" i="31" s="1"/>
  <c r="AA491" i="31"/>
  <c r="AB491" i="31" s="1"/>
  <c r="AA506" i="31"/>
  <c r="AB506" i="31" s="1"/>
  <c r="AA534" i="31"/>
  <c r="AB534" i="31" s="1"/>
  <c r="AA548" i="31"/>
  <c r="AB548" i="31" s="1"/>
  <c r="AA562" i="31"/>
  <c r="AB562" i="31" s="1"/>
  <c r="AA578" i="31"/>
  <c r="AB578" i="31" s="1"/>
  <c r="AA592" i="31"/>
  <c r="AB592" i="31" s="1"/>
  <c r="AA606" i="31"/>
  <c r="AB606" i="31" s="1"/>
  <c r="AA620" i="31"/>
  <c r="AB620" i="31" s="1"/>
  <c r="AA634" i="31"/>
  <c r="AA649" i="31"/>
  <c r="AA677" i="31"/>
  <c r="AA691" i="31"/>
  <c r="AA705" i="31"/>
  <c r="AA719" i="31"/>
  <c r="AA735" i="31"/>
  <c r="AA749" i="31"/>
  <c r="AA763" i="31"/>
  <c r="AA791" i="31"/>
  <c r="AA806" i="31"/>
  <c r="AA820" i="31"/>
  <c r="AA834" i="31"/>
  <c r="AA848" i="31"/>
  <c r="AA877" i="31"/>
  <c r="AA892" i="31"/>
  <c r="AA920" i="31"/>
  <c r="AA30" i="31"/>
  <c r="AB30" i="31" s="1"/>
  <c r="AA86" i="31"/>
  <c r="AB86" i="31" s="1"/>
  <c r="AA104" i="31"/>
  <c r="AB104" i="31" s="1"/>
  <c r="AA122" i="31"/>
  <c r="AB122" i="31" s="1"/>
  <c r="AA138" i="31"/>
  <c r="AB138" i="31" s="1"/>
  <c r="AA153" i="31"/>
  <c r="AB153" i="31" s="1"/>
  <c r="AA201" i="31"/>
  <c r="AB201" i="31" s="1"/>
  <c r="AA217" i="31"/>
  <c r="AB217" i="31" s="1"/>
  <c r="AA232" i="31"/>
  <c r="AB232" i="31" s="1"/>
  <c r="AA279" i="31"/>
  <c r="AB279" i="31" s="1"/>
  <c r="AA293" i="31"/>
  <c r="AB293" i="31" s="1"/>
  <c r="AA335" i="31"/>
  <c r="AB335" i="31" s="1"/>
  <c r="AA350" i="31"/>
  <c r="AB350" i="31" s="1"/>
  <c r="AA378" i="31"/>
  <c r="AB378" i="31" s="1"/>
  <c r="AA407" i="31"/>
  <c r="AB407" i="31" s="1"/>
  <c r="AA436" i="31"/>
  <c r="AB436" i="31" s="1"/>
  <c r="AA464" i="31"/>
  <c r="AB464" i="31" s="1"/>
  <c r="AA507" i="31"/>
  <c r="AB507" i="31" s="1"/>
  <c r="AA521" i="31"/>
  <c r="AB521" i="31" s="1"/>
  <c r="AA549" i="31"/>
  <c r="AB549" i="31" s="1"/>
  <c r="AA579" i="31"/>
  <c r="AB579" i="31" s="1"/>
  <c r="AA593" i="31"/>
  <c r="AB593" i="31" s="1"/>
  <c r="AA621" i="31"/>
  <c r="AA650" i="31"/>
  <c r="AA664" i="31"/>
  <c r="AA692" i="31"/>
  <c r="AA722" i="31"/>
  <c r="AA764" i="31"/>
  <c r="AA793" i="31"/>
  <c r="AA849" i="31"/>
  <c r="AA893" i="31"/>
  <c r="AA31" i="31"/>
  <c r="AB31" i="31" s="1"/>
  <c r="AA87" i="31"/>
  <c r="AB87" i="31" s="1"/>
  <c r="AA105" i="31"/>
  <c r="AB105" i="31" s="1"/>
  <c r="AA123" i="31"/>
  <c r="AB123" i="31" s="1"/>
  <c r="AA139" i="31"/>
  <c r="AB139" i="31" s="1"/>
  <c r="AA154" i="31"/>
  <c r="AB154" i="31" s="1"/>
  <c r="AA170" i="31"/>
  <c r="AB170" i="31" s="1"/>
  <c r="AA187" i="31"/>
  <c r="AB187" i="31" s="1"/>
  <c r="AA202" i="31"/>
  <c r="AB202" i="31" s="1"/>
  <c r="AA218" i="31"/>
  <c r="AB218" i="31" s="1"/>
  <c r="AA233" i="31"/>
  <c r="AB233" i="31" s="1"/>
  <c r="AA266" i="31"/>
  <c r="AB266" i="31" s="1"/>
  <c r="AA294" i="31"/>
  <c r="AB294" i="31" s="1"/>
  <c r="AA308" i="31"/>
  <c r="AB308" i="31" s="1"/>
  <c r="AA322" i="31"/>
  <c r="AB322" i="31" s="1"/>
  <c r="AA337" i="31"/>
  <c r="AB337" i="31" s="1"/>
  <c r="AA379" i="31"/>
  <c r="AB379" i="31" s="1"/>
  <c r="AA394" i="31"/>
  <c r="AB394" i="31" s="1"/>
  <c r="AA409" i="31"/>
  <c r="AB409" i="31" s="1"/>
  <c r="AA423" i="31"/>
  <c r="AB423" i="31" s="1"/>
  <c r="AA465" i="31"/>
  <c r="AB465" i="31" s="1"/>
  <c r="AA479" i="31"/>
  <c r="AB479" i="31" s="1"/>
  <c r="AA508" i="31"/>
  <c r="AB508" i="31" s="1"/>
  <c r="AA536" i="31"/>
  <c r="AB536" i="31" s="1"/>
  <c r="AA47" i="31"/>
  <c r="AB47" i="31" s="1"/>
  <c r="AA334" i="31"/>
  <c r="AB334" i="31" s="1"/>
  <c r="AA520" i="31"/>
  <c r="AB520" i="31" s="1"/>
  <c r="AA663" i="31"/>
  <c r="AA777" i="31"/>
  <c r="AA862" i="31"/>
  <c r="AA906" i="31"/>
  <c r="AA50" i="31"/>
  <c r="AB50" i="31" s="1"/>
  <c r="AA169" i="31"/>
  <c r="AB169" i="31" s="1"/>
  <c r="AA265" i="31"/>
  <c r="AB265" i="31" s="1"/>
  <c r="AA321" i="31"/>
  <c r="AB321" i="31" s="1"/>
  <c r="AA364" i="31"/>
  <c r="AB364" i="31" s="1"/>
  <c r="AA422" i="31"/>
  <c r="AB422" i="31" s="1"/>
  <c r="AA478" i="31"/>
  <c r="AB478" i="31" s="1"/>
  <c r="AA535" i="31"/>
  <c r="AB535" i="31" s="1"/>
  <c r="AA607" i="31"/>
  <c r="AB607" i="31" s="1"/>
  <c r="AA678" i="31"/>
  <c r="AA736" i="31"/>
  <c r="AA778" i="31"/>
  <c r="AA821" i="31"/>
  <c r="AA863" i="31"/>
  <c r="AA907" i="31"/>
  <c r="AA51" i="31"/>
  <c r="AB51" i="31" s="1"/>
  <c r="AA248" i="31"/>
  <c r="AB248" i="31" s="1"/>
  <c r="AA351" i="31"/>
  <c r="AB351" i="31" s="1"/>
  <c r="AA451" i="31"/>
  <c r="AB451" i="31" s="1"/>
  <c r="AA522" i="31"/>
  <c r="AB522" i="31" s="1"/>
  <c r="AA32" i="31"/>
  <c r="AB32" i="31" s="1"/>
  <c r="AA52" i="31"/>
  <c r="AB52" i="31" s="1"/>
  <c r="AA69" i="31"/>
  <c r="AB69" i="31" s="1"/>
  <c r="AA90" i="31"/>
  <c r="AB90" i="31" s="1"/>
  <c r="AA106" i="31"/>
  <c r="AB106" i="31" s="1"/>
  <c r="AA124" i="31"/>
  <c r="AB124" i="31" s="1"/>
  <c r="AA140" i="31"/>
  <c r="AB140" i="31" s="1"/>
  <c r="AA155" i="31"/>
  <c r="AB155" i="31" s="1"/>
  <c r="AA173" i="31"/>
  <c r="AB173" i="31" s="1"/>
  <c r="AA188" i="31"/>
  <c r="AB188" i="31" s="1"/>
  <c r="AA203" i="31"/>
  <c r="AB203" i="31" s="1"/>
  <c r="AA219" i="31"/>
  <c r="AB219" i="31" s="1"/>
  <c r="AA234" i="31"/>
  <c r="AB234" i="31" s="1"/>
  <c r="AA251" i="31"/>
  <c r="AB251" i="31" s="1"/>
  <c r="AA267" i="31"/>
  <c r="AB267" i="31" s="1"/>
  <c r="AA281" i="31"/>
  <c r="AB281" i="31" s="1"/>
  <c r="AA295" i="31"/>
  <c r="AB295" i="31" s="1"/>
  <c r="AA309" i="31"/>
  <c r="AB309" i="31" s="1"/>
  <c r="AA323" i="31"/>
  <c r="AB323" i="31" s="1"/>
  <c r="AA338" i="31"/>
  <c r="AB338" i="31" s="1"/>
  <c r="AA352" i="31"/>
  <c r="AB352" i="31" s="1"/>
  <c r="AA366" i="31"/>
  <c r="AB366" i="31" s="1"/>
  <c r="AA381" i="31"/>
  <c r="AB381" i="31" s="1"/>
  <c r="AA395" i="31"/>
  <c r="AB395" i="31" s="1"/>
  <c r="AA410" i="31"/>
  <c r="AB410" i="31" s="1"/>
  <c r="AA424" i="31"/>
  <c r="AB424" i="31" s="1"/>
  <c r="AA438" i="31"/>
  <c r="AB438" i="31" s="1"/>
  <c r="AA452" i="31"/>
  <c r="AB452" i="31" s="1"/>
  <c r="AA466" i="31"/>
  <c r="AB466" i="31" s="1"/>
  <c r="AA481" i="31"/>
  <c r="AB481" i="31" s="1"/>
  <c r="AA495" i="31"/>
  <c r="AB495" i="31" s="1"/>
  <c r="AA509" i="31"/>
  <c r="AB509" i="31" s="1"/>
  <c r="AA523" i="31"/>
  <c r="AB523" i="31" s="1"/>
  <c r="AA538" i="31"/>
  <c r="AB538" i="31" s="1"/>
  <c r="AA553" i="31"/>
  <c r="AB553" i="31" s="1"/>
  <c r="AA567" i="31"/>
  <c r="AB567" i="31" s="1"/>
  <c r="AA581" i="31"/>
  <c r="AB581" i="31" s="1"/>
  <c r="AA595" i="31"/>
  <c r="AB595" i="31" s="1"/>
  <c r="AA609" i="31"/>
  <c r="AB609" i="31" s="1"/>
  <c r="AA623" i="31"/>
  <c r="AA638" i="31"/>
  <c r="AA652" i="31"/>
  <c r="AA666" i="31"/>
  <c r="AA680" i="31"/>
  <c r="AA695" i="31"/>
  <c r="AA710" i="31"/>
  <c r="AA724" i="31"/>
  <c r="AA738" i="31"/>
  <c r="AA752" i="31"/>
  <c r="AA766" i="31"/>
  <c r="AA781" i="31"/>
  <c r="AA795" i="31"/>
  <c r="AA809" i="31"/>
  <c r="AA823" i="31"/>
  <c r="AA837" i="31"/>
  <c r="AA853" i="31"/>
  <c r="AA867" i="31"/>
  <c r="AA881" i="31"/>
  <c r="AA895" i="31"/>
  <c r="AA909" i="31"/>
  <c r="AA33" i="31"/>
  <c r="AB33" i="31" s="1"/>
  <c r="AA71" i="31"/>
  <c r="AB71" i="31" s="1"/>
  <c r="AA107" i="31"/>
  <c r="AB107" i="31" s="1"/>
  <c r="AA141" i="31"/>
  <c r="AB141" i="31" s="1"/>
  <c r="AA174" i="31"/>
  <c r="AB174" i="31" s="1"/>
  <c r="AA205" i="31"/>
  <c r="AB205" i="31" s="1"/>
  <c r="AA235" i="31"/>
  <c r="AB235" i="31" s="1"/>
  <c r="AA268" i="31"/>
  <c r="AB268" i="31" s="1"/>
  <c r="AA296" i="31"/>
  <c r="AB296" i="31" s="1"/>
  <c r="AA325" i="31"/>
  <c r="AB325" i="31" s="1"/>
  <c r="AA353" i="31"/>
  <c r="AB353" i="31" s="1"/>
  <c r="AA382" i="31"/>
  <c r="AB382" i="31" s="1"/>
  <c r="AA411" i="31"/>
  <c r="AB411" i="31" s="1"/>
  <c r="AA439" i="31"/>
  <c r="AB439" i="31" s="1"/>
  <c r="AA467" i="31"/>
  <c r="AB467" i="31" s="1"/>
  <c r="AA496" i="31"/>
  <c r="AB496" i="31" s="1"/>
  <c r="AA525" i="31"/>
  <c r="AB525" i="31" s="1"/>
  <c r="AA551" i="31"/>
  <c r="AB551" i="31" s="1"/>
  <c r="AA572" i="31"/>
  <c r="AB572" i="31" s="1"/>
  <c r="AA598" i="31"/>
  <c r="AB598" i="31" s="1"/>
  <c r="AA625" i="31"/>
  <c r="AA645" i="31"/>
  <c r="AA671" i="31"/>
  <c r="AA698" i="31"/>
  <c r="AA723" i="31"/>
  <c r="AA743" i="31"/>
  <c r="AA770" i="31"/>
  <c r="AA796" i="31"/>
  <c r="AA817" i="31"/>
  <c r="AA843" i="31"/>
  <c r="AA869" i="31"/>
  <c r="AA894" i="31"/>
  <c r="AA915" i="31"/>
  <c r="AA112" i="31"/>
  <c r="AB112" i="31" s="1"/>
  <c r="AA357" i="31"/>
  <c r="AB357" i="31" s="1"/>
  <c r="AA529" i="31"/>
  <c r="AB529" i="31" s="1"/>
  <c r="AA654" i="31"/>
  <c r="AA774" i="31"/>
  <c r="AA79" i="31"/>
  <c r="AB79" i="31" s="1"/>
  <c r="AA557" i="31"/>
  <c r="AB557" i="31" s="1"/>
  <c r="AA728" i="31"/>
  <c r="AA854" i="31"/>
  <c r="AA160" i="31"/>
  <c r="AB160" i="31" s="1"/>
  <c r="AA831" i="31"/>
  <c r="AA93" i="31"/>
  <c r="AB93" i="31" s="1"/>
  <c r="AA513" i="31"/>
  <c r="AB513" i="31" s="1"/>
  <c r="AA713" i="31"/>
  <c r="AA910" i="31"/>
  <c r="AA128" i="31"/>
  <c r="AB128" i="31" s="1"/>
  <c r="AA740" i="31"/>
  <c r="AA129" i="31"/>
  <c r="AB129" i="31" s="1"/>
  <c r="AA643" i="31"/>
  <c r="AA841" i="31"/>
  <c r="AA98" i="31"/>
  <c r="AB98" i="31" s="1"/>
  <c r="AA644" i="31"/>
  <c r="AA868" i="31"/>
  <c r="AA35" i="31"/>
  <c r="AB35" i="31" s="1"/>
  <c r="AA76" i="31"/>
  <c r="AB76" i="31" s="1"/>
  <c r="AA110" i="31"/>
  <c r="AB110" i="31" s="1"/>
  <c r="AA142" i="31"/>
  <c r="AB142" i="31" s="1"/>
  <c r="AA175" i="31"/>
  <c r="AB175" i="31" s="1"/>
  <c r="AA206" i="31"/>
  <c r="AB206" i="31" s="1"/>
  <c r="AA238" i="31"/>
  <c r="AB238" i="31" s="1"/>
  <c r="AA269" i="31"/>
  <c r="AB269" i="31" s="1"/>
  <c r="AA297" i="31"/>
  <c r="AB297" i="31" s="1"/>
  <c r="AA326" i="31"/>
  <c r="AB326" i="31" s="1"/>
  <c r="AA355" i="31"/>
  <c r="AB355" i="31" s="1"/>
  <c r="AA383" i="31"/>
  <c r="AB383" i="31" s="1"/>
  <c r="AA412" i="31"/>
  <c r="AB412" i="31" s="1"/>
  <c r="AA440" i="31"/>
  <c r="AB440" i="31" s="1"/>
  <c r="AA469" i="31"/>
  <c r="AB469" i="31" s="1"/>
  <c r="AA497" i="31"/>
  <c r="AB497" i="31" s="1"/>
  <c r="AA526" i="31"/>
  <c r="AB526" i="31" s="1"/>
  <c r="AA554" i="31"/>
  <c r="AB554" i="31" s="1"/>
  <c r="AA573" i="31"/>
  <c r="AB573" i="31" s="1"/>
  <c r="AA599" i="31"/>
  <c r="AB599" i="31" s="1"/>
  <c r="AA626" i="31"/>
  <c r="AA651" i="31"/>
  <c r="AA673" i="31"/>
  <c r="AA699" i="31"/>
  <c r="AA725" i="31"/>
  <c r="AA745" i="31"/>
  <c r="AA771" i="31"/>
  <c r="AA797" i="31"/>
  <c r="AA822" i="31"/>
  <c r="AA844" i="31"/>
  <c r="AA870" i="31"/>
  <c r="AA896" i="31"/>
  <c r="AA916" i="31"/>
  <c r="AA674" i="31"/>
  <c r="AA897" i="31"/>
  <c r="AA78" i="31"/>
  <c r="AB78" i="31" s="1"/>
  <c r="AA147" i="31"/>
  <c r="AB147" i="31" s="1"/>
  <c r="AA177" i="31"/>
  <c r="AB177" i="31" s="1"/>
  <c r="AA208" i="31"/>
  <c r="AB208" i="31" s="1"/>
  <c r="AA241" i="31"/>
  <c r="AB241" i="31" s="1"/>
  <c r="AA271" i="31"/>
  <c r="AB271" i="31" s="1"/>
  <c r="AA299" i="31"/>
  <c r="AB299" i="31" s="1"/>
  <c r="AA329" i="31"/>
  <c r="AB329" i="31" s="1"/>
  <c r="AA386" i="31"/>
  <c r="AB386" i="31" s="1"/>
  <c r="AA442" i="31"/>
  <c r="AB442" i="31" s="1"/>
  <c r="AA471" i="31"/>
  <c r="AB471" i="31" s="1"/>
  <c r="AA500" i="31"/>
  <c r="AB500" i="31" s="1"/>
  <c r="AA582" i="31"/>
  <c r="AB582" i="31" s="1"/>
  <c r="AA602" i="31"/>
  <c r="AB602" i="31" s="1"/>
  <c r="AA628" i="31"/>
  <c r="AA679" i="31"/>
  <c r="AA727" i="31"/>
  <c r="AA753" i="31"/>
  <c r="AA800" i="31"/>
  <c r="AA826" i="31"/>
  <c r="AA872" i="31"/>
  <c r="AA898" i="31"/>
  <c r="AA40" i="31"/>
  <c r="AB40" i="31" s="1"/>
  <c r="AA148" i="31"/>
  <c r="AB148" i="31" s="1"/>
  <c r="AA178" i="31"/>
  <c r="AB178" i="31" s="1"/>
  <c r="AA209" i="31"/>
  <c r="AB209" i="31" s="1"/>
  <c r="AA242" i="31"/>
  <c r="AB242" i="31" s="1"/>
  <c r="AA272" i="31"/>
  <c r="AB272" i="31" s="1"/>
  <c r="AA301" i="31"/>
  <c r="AB301" i="31" s="1"/>
  <c r="AA330" i="31"/>
  <c r="AB330" i="31" s="1"/>
  <c r="AA358" i="31"/>
  <c r="AB358" i="31" s="1"/>
  <c r="AA387" i="31"/>
  <c r="AB387" i="31" s="1"/>
  <c r="AA415" i="31"/>
  <c r="AB415" i="31" s="1"/>
  <c r="AA443" i="31"/>
  <c r="AB443" i="31" s="1"/>
  <c r="AA473" i="31"/>
  <c r="AB473" i="31" s="1"/>
  <c r="AA530" i="31"/>
  <c r="AB530" i="31" s="1"/>
  <c r="AA583" i="31"/>
  <c r="AB583" i="31" s="1"/>
  <c r="AA608" i="31"/>
  <c r="AB608" i="31" s="1"/>
  <c r="AA630" i="31"/>
  <c r="AA656" i="31"/>
  <c r="AA682" i="31"/>
  <c r="AA754" i="31"/>
  <c r="AA779" i="31"/>
  <c r="AA827" i="31"/>
  <c r="AA873" i="31"/>
  <c r="AA899" i="31"/>
  <c r="AA882" i="31"/>
  <c r="AA54" i="31"/>
  <c r="AB54" i="31" s="1"/>
  <c r="AA190" i="31"/>
  <c r="AB190" i="31" s="1"/>
  <c r="AA221" i="31"/>
  <c r="AB221" i="31" s="1"/>
  <c r="AA254" i="31"/>
  <c r="AB254" i="31" s="1"/>
  <c r="AA283" i="31"/>
  <c r="AB283" i="31" s="1"/>
  <c r="AA311" i="31"/>
  <c r="AB311" i="31" s="1"/>
  <c r="AA340" i="31"/>
  <c r="AB340" i="31" s="1"/>
  <c r="AA369" i="31"/>
  <c r="AB369" i="31" s="1"/>
  <c r="AA398" i="31"/>
  <c r="AB398" i="31" s="1"/>
  <c r="AA426" i="31"/>
  <c r="AB426" i="31" s="1"/>
  <c r="AA454" i="31"/>
  <c r="AB454" i="31" s="1"/>
  <c r="AA483" i="31"/>
  <c r="AB483" i="31" s="1"/>
  <c r="AA512" i="31"/>
  <c r="AB512" i="31" s="1"/>
  <c r="AA541" i="31"/>
  <c r="AB541" i="31" s="1"/>
  <c r="AA566" i="31"/>
  <c r="AB566" i="31" s="1"/>
  <c r="AA613" i="31"/>
  <c r="AB613" i="31" s="1"/>
  <c r="AA639" i="31"/>
  <c r="AA659" i="31"/>
  <c r="AA712" i="31"/>
  <c r="AA737" i="31"/>
  <c r="AA784" i="31"/>
  <c r="AA810" i="31"/>
  <c r="AA857" i="31"/>
  <c r="AA908" i="31"/>
  <c r="AA161" i="31"/>
  <c r="AB161" i="31" s="1"/>
  <c r="AA191" i="31"/>
  <c r="AB191" i="31" s="1"/>
  <c r="AA222" i="31"/>
  <c r="AB222" i="31" s="1"/>
  <c r="AA255" i="31"/>
  <c r="AB255" i="31" s="1"/>
  <c r="AA284" i="31"/>
  <c r="AB284" i="31" s="1"/>
  <c r="AA313" i="31"/>
  <c r="AB313" i="31" s="1"/>
  <c r="AA342" i="31"/>
  <c r="AB342" i="31" s="1"/>
  <c r="AA370" i="31"/>
  <c r="AB370" i="31" s="1"/>
  <c r="AA399" i="31"/>
  <c r="AB399" i="31" s="1"/>
  <c r="AA427" i="31"/>
  <c r="AB427" i="31" s="1"/>
  <c r="AA484" i="31"/>
  <c r="AB484" i="31" s="1"/>
  <c r="AA542" i="31"/>
  <c r="AB542" i="31" s="1"/>
  <c r="AA587" i="31"/>
  <c r="AB587" i="31" s="1"/>
  <c r="AA614" i="31"/>
  <c r="AB614" i="31" s="1"/>
  <c r="AA665" i="31"/>
  <c r="AA687" i="31"/>
  <c r="AA739" i="31"/>
  <c r="AA785" i="31"/>
  <c r="AA836" i="31"/>
  <c r="AA858" i="31"/>
  <c r="AA884" i="31"/>
  <c r="AA59" i="31"/>
  <c r="AB59" i="31" s="1"/>
  <c r="AA193" i="31"/>
  <c r="AB193" i="31" s="1"/>
  <c r="AA225" i="31"/>
  <c r="AB225" i="31" s="1"/>
  <c r="AA256" i="31"/>
  <c r="AB256" i="31" s="1"/>
  <c r="AA285" i="31"/>
  <c r="AB285" i="31" s="1"/>
  <c r="AA314" i="31"/>
  <c r="AB314" i="31" s="1"/>
  <c r="AA343" i="31"/>
  <c r="AB343" i="31" s="1"/>
  <c r="AA371" i="31"/>
  <c r="AB371" i="31" s="1"/>
  <c r="AA400" i="31"/>
  <c r="AB400" i="31" s="1"/>
  <c r="AA428" i="31"/>
  <c r="AB428" i="31" s="1"/>
  <c r="AA457" i="31"/>
  <c r="AB457" i="31" s="1"/>
  <c r="AA486" i="31"/>
  <c r="AB486" i="31" s="1"/>
  <c r="AA514" i="31"/>
  <c r="AB514" i="31" s="1"/>
  <c r="AA543" i="31"/>
  <c r="AB543" i="31" s="1"/>
  <c r="AA569" i="31"/>
  <c r="AB569" i="31" s="1"/>
  <c r="AA594" i="31"/>
  <c r="AB594" i="31" s="1"/>
  <c r="AA641" i="31"/>
  <c r="AA667" i="31"/>
  <c r="AA688" i="31"/>
  <c r="AA714" i="31"/>
  <c r="AA765" i="31"/>
  <c r="AA787" i="31"/>
  <c r="AA813" i="31"/>
  <c r="AA859" i="31"/>
  <c r="AA885" i="31"/>
  <c r="AA911" i="31"/>
  <c r="AA62" i="31"/>
  <c r="AB62" i="31" s="1"/>
  <c r="AA194" i="31"/>
  <c r="AB194" i="31" s="1"/>
  <c r="AA226" i="31"/>
  <c r="AB226" i="31" s="1"/>
  <c r="AA257" i="31"/>
  <c r="AB257" i="31" s="1"/>
  <c r="AA286" i="31"/>
  <c r="AB286" i="31" s="1"/>
  <c r="AA316" i="31"/>
  <c r="AB316" i="31" s="1"/>
  <c r="AA344" i="31"/>
  <c r="AB344" i="31" s="1"/>
  <c r="AA373" i="31"/>
  <c r="AB373" i="31" s="1"/>
  <c r="AA401" i="31"/>
  <c r="AB401" i="31" s="1"/>
  <c r="AA429" i="31"/>
  <c r="AB429" i="31" s="1"/>
  <c r="AA458" i="31"/>
  <c r="AB458" i="31" s="1"/>
  <c r="AA487" i="31"/>
  <c r="AB487" i="31" s="1"/>
  <c r="AA515" i="31"/>
  <c r="AB515" i="31" s="1"/>
  <c r="AA544" i="31"/>
  <c r="AB544" i="31" s="1"/>
  <c r="AA570" i="31"/>
  <c r="AB570" i="31" s="1"/>
  <c r="AA596" i="31"/>
  <c r="AB596" i="31" s="1"/>
  <c r="AA669" i="31"/>
  <c r="AA693" i="31"/>
  <c r="AA715" i="31"/>
  <c r="AA741" i="31"/>
  <c r="AA788" i="31"/>
  <c r="AA814" i="31"/>
  <c r="AA886" i="31"/>
  <c r="AA913" i="31"/>
  <c r="AA63" i="31"/>
  <c r="AB63" i="31" s="1"/>
  <c r="AA195" i="31"/>
  <c r="AB195" i="31" s="1"/>
  <c r="AA227" i="31"/>
  <c r="AB227" i="31" s="1"/>
  <c r="AA258" i="31"/>
  <c r="AB258" i="31" s="1"/>
  <c r="AA287" i="31"/>
  <c r="AB287" i="31" s="1"/>
  <c r="AA317" i="31"/>
  <c r="AB317" i="31" s="1"/>
  <c r="AA345" i="31"/>
  <c r="AB345" i="31" s="1"/>
  <c r="AA374" i="31"/>
  <c r="AB374" i="31" s="1"/>
  <c r="AA402" i="31"/>
  <c r="AB402" i="31" s="1"/>
  <c r="AA430" i="31"/>
  <c r="AB430" i="31" s="1"/>
  <c r="AA460" i="31"/>
  <c r="AB460" i="31" s="1"/>
  <c r="AA488" i="31"/>
  <c r="AB488" i="31" s="1"/>
  <c r="AA517" i="31"/>
  <c r="AB517" i="31" s="1"/>
  <c r="AA545" i="31"/>
  <c r="AB545" i="31" s="1"/>
  <c r="AA571" i="31"/>
  <c r="AB571" i="31" s="1"/>
  <c r="AA622" i="31"/>
  <c r="AA697" i="31"/>
  <c r="AA716" i="31"/>
  <c r="AA742" i="31"/>
  <c r="AA769" i="31"/>
  <c r="AA794" i="31"/>
  <c r="AA815" i="31"/>
  <c r="AA887" i="31"/>
  <c r="AA38" i="31"/>
  <c r="AB38" i="31" s="1"/>
  <c r="AA77" i="31"/>
  <c r="AB77" i="31" s="1"/>
  <c r="AA111" i="31"/>
  <c r="AB111" i="31" s="1"/>
  <c r="AA143" i="31"/>
  <c r="AB143" i="31" s="1"/>
  <c r="AA176" i="31"/>
  <c r="AB176" i="31" s="1"/>
  <c r="AA207" i="31"/>
  <c r="AB207" i="31" s="1"/>
  <c r="AA239" i="31"/>
  <c r="AB239" i="31" s="1"/>
  <c r="AA270" i="31"/>
  <c r="AB270" i="31" s="1"/>
  <c r="AA298" i="31"/>
  <c r="AB298" i="31" s="1"/>
  <c r="AA327" i="31"/>
  <c r="AB327" i="31" s="1"/>
  <c r="AA356" i="31"/>
  <c r="AB356" i="31" s="1"/>
  <c r="AA385" i="31"/>
  <c r="AB385" i="31" s="1"/>
  <c r="AA413" i="31"/>
  <c r="AB413" i="31" s="1"/>
  <c r="AA441" i="31"/>
  <c r="AB441" i="31" s="1"/>
  <c r="AA470" i="31"/>
  <c r="AB470" i="31" s="1"/>
  <c r="AA499" i="31"/>
  <c r="AB499" i="31" s="1"/>
  <c r="AA527" i="31"/>
  <c r="AB527" i="31" s="1"/>
  <c r="AA555" i="31"/>
  <c r="AB555" i="31" s="1"/>
  <c r="AA580" i="31"/>
  <c r="AB580" i="31" s="1"/>
  <c r="AA601" i="31"/>
  <c r="AB601" i="31" s="1"/>
  <c r="AA627" i="31"/>
  <c r="AA653" i="31"/>
  <c r="AA700" i="31"/>
  <c r="AA726" i="31"/>
  <c r="AA751" i="31"/>
  <c r="AA772" i="31"/>
  <c r="AA798" i="31"/>
  <c r="AA824" i="31"/>
  <c r="AA845" i="31"/>
  <c r="AA871" i="31"/>
  <c r="AA39" i="31"/>
  <c r="AB39" i="31" s="1"/>
  <c r="AA414" i="31"/>
  <c r="AB414" i="31" s="1"/>
  <c r="AA556" i="31"/>
  <c r="AB556" i="31" s="1"/>
  <c r="AA701" i="31"/>
  <c r="AA850" i="31"/>
  <c r="AA113" i="31"/>
  <c r="AB113" i="31" s="1"/>
  <c r="AA501" i="31"/>
  <c r="AB501" i="31" s="1"/>
  <c r="AA702" i="31"/>
  <c r="AA801" i="31"/>
  <c r="AA126" i="31"/>
  <c r="AB126" i="31" s="1"/>
  <c r="AA686" i="31"/>
  <c r="AA883" i="31"/>
  <c r="AA55" i="31"/>
  <c r="AB55" i="31" s="1"/>
  <c r="AA568" i="31"/>
  <c r="AB568" i="31" s="1"/>
  <c r="AA759" i="31"/>
  <c r="AA162" i="31"/>
  <c r="AB162" i="31" s="1"/>
  <c r="AA163" i="31"/>
  <c r="AB163" i="31" s="1"/>
  <c r="AA767" i="31"/>
  <c r="AA164" i="31"/>
  <c r="AB164" i="31" s="1"/>
  <c r="AA597" i="31"/>
  <c r="AB597" i="31" s="1"/>
  <c r="AA842" i="31"/>
  <c r="AA43" i="31"/>
  <c r="AB43" i="31" s="1"/>
  <c r="AA80" i="31"/>
  <c r="AB80" i="31" s="1"/>
  <c r="AA114" i="31"/>
  <c r="AB114" i="31" s="1"/>
  <c r="AA149" i="31"/>
  <c r="AB149" i="31" s="1"/>
  <c r="AA179" i="31"/>
  <c r="AB179" i="31" s="1"/>
  <c r="AA212" i="31"/>
  <c r="AB212" i="31" s="1"/>
  <c r="AA243" i="31"/>
  <c r="AB243" i="31" s="1"/>
  <c r="AA273" i="31"/>
  <c r="AB273" i="31" s="1"/>
  <c r="AA303" i="31"/>
  <c r="AB303" i="31" s="1"/>
  <c r="AA331" i="31"/>
  <c r="AB331" i="31" s="1"/>
  <c r="AA359" i="31"/>
  <c r="AB359" i="31" s="1"/>
  <c r="AA388" i="31"/>
  <c r="AB388" i="31" s="1"/>
  <c r="AA416" i="31"/>
  <c r="AB416" i="31" s="1"/>
  <c r="AA445" i="31"/>
  <c r="AB445" i="31" s="1"/>
  <c r="AA474" i="31"/>
  <c r="AB474" i="31" s="1"/>
  <c r="AA502" i="31"/>
  <c r="AB502" i="31" s="1"/>
  <c r="AA531" i="31"/>
  <c r="AB531" i="31" s="1"/>
  <c r="AA558" i="31"/>
  <c r="AB558" i="31" s="1"/>
  <c r="AA584" i="31"/>
  <c r="AB584" i="31" s="1"/>
  <c r="AA610" i="31"/>
  <c r="AB610" i="31" s="1"/>
  <c r="AA631" i="31"/>
  <c r="AA657" i="31"/>
  <c r="AA683" i="31"/>
  <c r="AA709" i="31"/>
  <c r="AA729" i="31"/>
  <c r="AA755" i="31"/>
  <c r="AA782" i="31"/>
  <c r="AA802" i="31"/>
  <c r="AA829" i="31"/>
  <c r="AA855" i="31"/>
  <c r="AA880" i="31"/>
  <c r="AA901" i="31"/>
  <c r="AA53" i="31"/>
  <c r="AB53" i="31" s="1"/>
  <c r="AA91" i="31"/>
  <c r="AB91" i="31" s="1"/>
  <c r="AA125" i="31"/>
  <c r="AB125" i="31" s="1"/>
  <c r="AA157" i="31"/>
  <c r="AB157" i="31" s="1"/>
  <c r="AA189" i="31"/>
  <c r="AB189" i="31" s="1"/>
  <c r="AA220" i="31"/>
  <c r="AB220" i="31" s="1"/>
  <c r="AA253" i="31"/>
  <c r="AB253" i="31" s="1"/>
  <c r="AA282" i="31"/>
  <c r="AB282" i="31" s="1"/>
  <c r="AA310" i="31"/>
  <c r="AB310" i="31" s="1"/>
  <c r="AA339" i="31"/>
  <c r="AB339" i="31" s="1"/>
  <c r="AA368" i="31"/>
  <c r="AB368" i="31" s="1"/>
  <c r="AA397" i="31"/>
  <c r="AB397" i="31" s="1"/>
  <c r="AA425" i="31"/>
  <c r="AB425" i="31" s="1"/>
  <c r="AA453" i="31"/>
  <c r="AB453" i="31" s="1"/>
  <c r="AA482" i="31"/>
  <c r="AB482" i="31" s="1"/>
  <c r="AA510" i="31"/>
  <c r="AB510" i="31" s="1"/>
  <c r="AA539" i="31"/>
  <c r="AB539" i="31" s="1"/>
  <c r="AA559" i="31"/>
  <c r="AB559" i="31" s="1"/>
  <c r="AA585" i="31"/>
  <c r="AB585" i="31" s="1"/>
  <c r="AA611" i="31"/>
  <c r="AB611" i="31" s="1"/>
  <c r="AA637" i="31"/>
  <c r="AA658" i="31"/>
  <c r="AA685" i="31"/>
  <c r="AA711" i="31"/>
  <c r="AA730" i="31"/>
  <c r="AA757" i="31"/>
  <c r="AA783" i="31"/>
  <c r="AA808" i="31"/>
  <c r="AA830" i="31"/>
  <c r="AA856" i="31"/>
  <c r="AA902" i="31"/>
  <c r="AA92" i="31"/>
  <c r="AB92" i="31" s="1"/>
  <c r="AA586" i="31"/>
  <c r="AB586" i="31" s="1"/>
  <c r="AA758" i="31"/>
  <c r="AA127" i="31"/>
  <c r="AB127" i="31" s="1"/>
  <c r="AA455" i="31"/>
  <c r="AB455" i="31" s="1"/>
  <c r="AA640" i="31"/>
  <c r="AA811" i="31"/>
  <c r="AA94" i="31"/>
  <c r="AB94" i="31" s="1"/>
  <c r="AA615" i="31"/>
  <c r="AB615" i="31" s="1"/>
  <c r="AA839" i="31"/>
  <c r="AA95" i="31"/>
  <c r="AB95" i="31" s="1"/>
  <c r="AA617" i="31"/>
  <c r="AB617" i="31" s="1"/>
  <c r="AA866" i="31"/>
  <c r="AA134" i="31"/>
  <c r="AB134" i="31" s="1"/>
  <c r="AA670" i="31"/>
  <c r="AA914" i="31"/>
  <c r="O21" i="31"/>
  <c r="X239" i="31"/>
  <c r="W21" i="31"/>
  <c r="X21" i="31" s="1"/>
  <c r="O32" i="31"/>
  <c r="P32" i="31" s="1"/>
  <c r="O44" i="31"/>
  <c r="P44" i="31" s="1"/>
  <c r="O56" i="31"/>
  <c r="P56" i="31" s="1"/>
  <c r="O68" i="31"/>
  <c r="P68" i="31" s="1"/>
  <c r="O80" i="31"/>
  <c r="P80" i="31" s="1"/>
  <c r="O92" i="31"/>
  <c r="P92" i="31" s="1"/>
  <c r="O104" i="31"/>
  <c r="P104" i="31" s="1"/>
  <c r="O116" i="31"/>
  <c r="P116" i="31" s="1"/>
  <c r="O128" i="31"/>
  <c r="P128" i="31" s="1"/>
  <c r="O140" i="31"/>
  <c r="P140" i="31" s="1"/>
  <c r="O152" i="31"/>
  <c r="P152" i="31" s="1"/>
  <c r="O164" i="31"/>
  <c r="P164" i="31" s="1"/>
  <c r="O176" i="31"/>
  <c r="P176" i="31" s="1"/>
  <c r="O188" i="31"/>
  <c r="P188" i="31" s="1"/>
  <c r="O200" i="31"/>
  <c r="P200" i="31" s="1"/>
  <c r="O212" i="31"/>
  <c r="P212" i="31" s="1"/>
  <c r="O224" i="31"/>
  <c r="P224" i="31" s="1"/>
  <c r="O236" i="31"/>
  <c r="P236" i="31" s="1"/>
  <c r="O248" i="31"/>
  <c r="P248" i="31" s="1"/>
  <c r="O260" i="31"/>
  <c r="P260" i="31" s="1"/>
  <c r="O272" i="31"/>
  <c r="P272" i="31" s="1"/>
  <c r="O284" i="31"/>
  <c r="P284" i="31" s="1"/>
  <c r="O296" i="31"/>
  <c r="P296" i="31" s="1"/>
  <c r="O308" i="31"/>
  <c r="P308" i="31" s="1"/>
  <c r="O320" i="31"/>
  <c r="P320" i="31" s="1"/>
  <c r="O332" i="31"/>
  <c r="P332" i="31" s="1"/>
  <c r="O344" i="31"/>
  <c r="P344" i="31" s="1"/>
  <c r="O356" i="31"/>
  <c r="P356" i="31" s="1"/>
  <c r="O368" i="31"/>
  <c r="P368" i="31" s="1"/>
  <c r="O380" i="31"/>
  <c r="P380" i="31" s="1"/>
  <c r="O392" i="31"/>
  <c r="P392" i="31" s="1"/>
  <c r="O404" i="31"/>
  <c r="P404" i="31" s="1"/>
  <c r="O416" i="31"/>
  <c r="P416" i="31" s="1"/>
  <c r="O428" i="31"/>
  <c r="P428" i="31" s="1"/>
  <c r="O440" i="31"/>
  <c r="P440" i="31" s="1"/>
  <c r="O452" i="31"/>
  <c r="P452" i="31" s="1"/>
  <c r="O464" i="31"/>
  <c r="P464" i="31" s="1"/>
  <c r="O476" i="31"/>
  <c r="P476" i="31" s="1"/>
  <c r="O488" i="31"/>
  <c r="P488" i="31" s="1"/>
  <c r="O500" i="31"/>
  <c r="P500" i="31" s="1"/>
  <c r="O512" i="31"/>
  <c r="P512" i="31" s="1"/>
  <c r="O524" i="31"/>
  <c r="P524" i="31" s="1"/>
  <c r="O536" i="31"/>
  <c r="P536" i="31" s="1"/>
  <c r="O548" i="31"/>
  <c r="P548" i="31" s="1"/>
  <c r="O560" i="31"/>
  <c r="P560" i="31" s="1"/>
  <c r="O572" i="31"/>
  <c r="P572" i="31" s="1"/>
  <c r="O584" i="31"/>
  <c r="P584" i="31" s="1"/>
  <c r="O596" i="31"/>
  <c r="P596" i="31" s="1"/>
  <c r="O608" i="31"/>
  <c r="P608" i="31" s="1"/>
  <c r="O620" i="31"/>
  <c r="P620" i="31" s="1"/>
  <c r="O632" i="31"/>
  <c r="P632" i="31" s="1"/>
  <c r="O644" i="31"/>
  <c r="P644" i="31" s="1"/>
  <c r="O656" i="31"/>
  <c r="P656" i="31" s="1"/>
  <c r="O668" i="31"/>
  <c r="P668" i="31" s="1"/>
  <c r="O680" i="31"/>
  <c r="P680" i="31" s="1"/>
  <c r="O692" i="31"/>
  <c r="P692" i="31" s="1"/>
  <c r="O704" i="31"/>
  <c r="P704" i="31" s="1"/>
  <c r="O716" i="31"/>
  <c r="P716" i="31" s="1"/>
  <c r="O728" i="31"/>
  <c r="P728" i="31" s="1"/>
  <c r="O740" i="31"/>
  <c r="P740" i="31" s="1"/>
  <c r="O752" i="31"/>
  <c r="P752" i="31" s="1"/>
  <c r="O764" i="31"/>
  <c r="P764" i="31" s="1"/>
  <c r="O776" i="31"/>
  <c r="P776" i="31" s="1"/>
  <c r="O788" i="31"/>
  <c r="P788" i="31" s="1"/>
  <c r="O800" i="31"/>
  <c r="P800" i="31" s="1"/>
  <c r="O812" i="31"/>
  <c r="P812" i="31" s="1"/>
  <c r="O824" i="31"/>
  <c r="P824" i="31" s="1"/>
  <c r="O836" i="31"/>
  <c r="P836" i="31" s="1"/>
  <c r="O848" i="31"/>
  <c r="P848" i="31" s="1"/>
  <c r="O860" i="31"/>
  <c r="P860" i="31" s="1"/>
  <c r="O872" i="31"/>
  <c r="P872" i="31" s="1"/>
  <c r="O884" i="31"/>
  <c r="P884" i="31" s="1"/>
  <c r="O896" i="31"/>
  <c r="P896" i="31" s="1"/>
  <c r="O908" i="31"/>
  <c r="P908" i="31" s="1"/>
  <c r="O920" i="31"/>
  <c r="P920" i="31" s="1"/>
  <c r="O33" i="31"/>
  <c r="P33" i="31" s="1"/>
  <c r="O45" i="31"/>
  <c r="P45" i="31" s="1"/>
  <c r="O57" i="31"/>
  <c r="P57" i="31" s="1"/>
  <c r="O69" i="31"/>
  <c r="P69" i="31" s="1"/>
  <c r="O81" i="31"/>
  <c r="P81" i="31" s="1"/>
  <c r="O93" i="31"/>
  <c r="P93" i="31" s="1"/>
  <c r="O105" i="31"/>
  <c r="P105" i="31" s="1"/>
  <c r="O117" i="31"/>
  <c r="P117" i="31" s="1"/>
  <c r="O129" i="31"/>
  <c r="P129" i="31" s="1"/>
  <c r="O141" i="31"/>
  <c r="P141" i="31" s="1"/>
  <c r="O22" i="31"/>
  <c r="P22" i="31" s="1"/>
  <c r="O34" i="31"/>
  <c r="P34" i="31" s="1"/>
  <c r="O46" i="31"/>
  <c r="P46" i="31" s="1"/>
  <c r="O58" i="31"/>
  <c r="P58" i="31" s="1"/>
  <c r="O70" i="31"/>
  <c r="P70" i="31" s="1"/>
  <c r="O82" i="31"/>
  <c r="P82" i="31" s="1"/>
  <c r="O94" i="31"/>
  <c r="P94" i="31" s="1"/>
  <c r="O106" i="31"/>
  <c r="P106" i="31" s="1"/>
  <c r="O118" i="31"/>
  <c r="P118" i="31" s="1"/>
  <c r="O130" i="31"/>
  <c r="P130" i="31" s="1"/>
  <c r="O142" i="31"/>
  <c r="P142" i="31" s="1"/>
  <c r="O154" i="31"/>
  <c r="P154" i="31" s="1"/>
  <c r="O166" i="31"/>
  <c r="P166" i="31" s="1"/>
  <c r="O178" i="31"/>
  <c r="P178" i="31" s="1"/>
  <c r="O190" i="31"/>
  <c r="P190" i="31" s="1"/>
  <c r="O202" i="31"/>
  <c r="P202" i="31" s="1"/>
  <c r="O214" i="31"/>
  <c r="P214" i="31" s="1"/>
  <c r="O226" i="31"/>
  <c r="P226" i="31" s="1"/>
  <c r="O238" i="31"/>
  <c r="P238" i="31" s="1"/>
  <c r="O250" i="31"/>
  <c r="P250" i="31" s="1"/>
  <c r="O262" i="31"/>
  <c r="P262" i="31" s="1"/>
  <c r="O274" i="31"/>
  <c r="P274" i="31" s="1"/>
  <c r="O286" i="31"/>
  <c r="P286" i="31" s="1"/>
  <c r="O298" i="31"/>
  <c r="P298" i="31" s="1"/>
  <c r="O310" i="31"/>
  <c r="P310" i="31" s="1"/>
  <c r="O322" i="31"/>
  <c r="P322" i="31" s="1"/>
  <c r="O334" i="31"/>
  <c r="P334" i="31" s="1"/>
  <c r="O346" i="31"/>
  <c r="P346" i="31" s="1"/>
  <c r="O358" i="31"/>
  <c r="P358" i="31" s="1"/>
  <c r="O370" i="31"/>
  <c r="P370" i="31" s="1"/>
  <c r="O382" i="31"/>
  <c r="P382" i="31" s="1"/>
  <c r="O394" i="31"/>
  <c r="P394" i="31" s="1"/>
  <c r="O406" i="31"/>
  <c r="P406" i="31" s="1"/>
  <c r="O418" i="31"/>
  <c r="P418" i="31" s="1"/>
  <c r="O430" i="31"/>
  <c r="P430" i="31" s="1"/>
  <c r="O442" i="31"/>
  <c r="P442" i="31" s="1"/>
  <c r="O454" i="31"/>
  <c r="P454" i="31" s="1"/>
  <c r="O466" i="31"/>
  <c r="P466" i="31" s="1"/>
  <c r="O478" i="31"/>
  <c r="P478" i="31" s="1"/>
  <c r="O490" i="31"/>
  <c r="P490" i="31" s="1"/>
  <c r="O502" i="31"/>
  <c r="P502" i="31" s="1"/>
  <c r="O514" i="31"/>
  <c r="P514" i="31" s="1"/>
  <c r="O526" i="31"/>
  <c r="P526" i="31" s="1"/>
  <c r="O538" i="31"/>
  <c r="P538" i="31" s="1"/>
  <c r="O550" i="31"/>
  <c r="P550" i="31" s="1"/>
  <c r="O562" i="31"/>
  <c r="P562" i="31" s="1"/>
  <c r="O574" i="31"/>
  <c r="P574" i="31" s="1"/>
  <c r="O586" i="31"/>
  <c r="P586" i="31" s="1"/>
  <c r="O598" i="31"/>
  <c r="P598" i="31" s="1"/>
  <c r="O610" i="31"/>
  <c r="P610" i="31" s="1"/>
  <c r="O622" i="31"/>
  <c r="P622" i="31" s="1"/>
  <c r="O634" i="31"/>
  <c r="P634" i="31" s="1"/>
  <c r="O646" i="31"/>
  <c r="P646" i="31" s="1"/>
  <c r="O658" i="31"/>
  <c r="P658" i="31" s="1"/>
  <c r="O670" i="31"/>
  <c r="P670" i="31" s="1"/>
  <c r="O682" i="31"/>
  <c r="P682" i="31" s="1"/>
  <c r="O694" i="31"/>
  <c r="P694" i="31" s="1"/>
  <c r="O706" i="31"/>
  <c r="P706" i="31" s="1"/>
  <c r="O718" i="31"/>
  <c r="P718" i="31" s="1"/>
  <c r="O730" i="31"/>
  <c r="P730" i="31" s="1"/>
  <c r="O742" i="31"/>
  <c r="P742" i="31" s="1"/>
  <c r="O754" i="31"/>
  <c r="P754" i="31" s="1"/>
  <c r="O766" i="31"/>
  <c r="P766" i="31" s="1"/>
  <c r="O778" i="31"/>
  <c r="P778" i="31" s="1"/>
  <c r="O790" i="31"/>
  <c r="P790" i="31" s="1"/>
  <c r="O802" i="31"/>
  <c r="P802" i="31" s="1"/>
  <c r="O814" i="31"/>
  <c r="P814" i="31" s="1"/>
  <c r="O826" i="31"/>
  <c r="P826" i="31" s="1"/>
  <c r="O838" i="31"/>
  <c r="P838" i="31" s="1"/>
  <c r="O850" i="31"/>
  <c r="P850" i="31" s="1"/>
  <c r="O862" i="31"/>
  <c r="P862" i="31" s="1"/>
  <c r="O874" i="31"/>
  <c r="P874" i="31" s="1"/>
  <c r="O886" i="31"/>
  <c r="P886" i="31" s="1"/>
  <c r="O898" i="31"/>
  <c r="P898" i="31" s="1"/>
  <c r="O910" i="31"/>
  <c r="P910" i="31" s="1"/>
  <c r="O23" i="31"/>
  <c r="P23" i="31" s="1"/>
  <c r="O35" i="31"/>
  <c r="P35" i="31" s="1"/>
  <c r="O47" i="31"/>
  <c r="P47" i="31" s="1"/>
  <c r="O59" i="31"/>
  <c r="P59" i="31" s="1"/>
  <c r="O71" i="31"/>
  <c r="P71" i="31" s="1"/>
  <c r="O83" i="31"/>
  <c r="P83" i="31" s="1"/>
  <c r="O95" i="31"/>
  <c r="P95" i="31" s="1"/>
  <c r="O107" i="31"/>
  <c r="P107" i="31" s="1"/>
  <c r="O119" i="31"/>
  <c r="P119" i="31" s="1"/>
  <c r="O131" i="31"/>
  <c r="P131" i="31" s="1"/>
  <c r="O24" i="31"/>
  <c r="P24" i="31" s="1"/>
  <c r="O38" i="31"/>
  <c r="P38" i="31" s="1"/>
  <c r="O54" i="31"/>
  <c r="P54" i="31" s="1"/>
  <c r="O74" i="31"/>
  <c r="P74" i="31" s="1"/>
  <c r="O90" i="31"/>
  <c r="P90" i="31" s="1"/>
  <c r="O110" i="31"/>
  <c r="P110" i="31" s="1"/>
  <c r="O126" i="31"/>
  <c r="P126" i="31" s="1"/>
  <c r="O145" i="31"/>
  <c r="P145" i="31" s="1"/>
  <c r="O159" i="31"/>
  <c r="P159" i="31" s="1"/>
  <c r="O173" i="31"/>
  <c r="P173" i="31" s="1"/>
  <c r="O187" i="31"/>
  <c r="P187" i="31" s="1"/>
  <c r="O203" i="31"/>
  <c r="P203" i="31" s="1"/>
  <c r="O217" i="31"/>
  <c r="P217" i="31" s="1"/>
  <c r="O231" i="31"/>
  <c r="P231" i="31" s="1"/>
  <c r="O245" i="31"/>
  <c r="P245" i="31" s="1"/>
  <c r="O259" i="31"/>
  <c r="P259" i="31" s="1"/>
  <c r="O275" i="31"/>
  <c r="P275" i="31" s="1"/>
  <c r="O289" i="31"/>
  <c r="P289" i="31" s="1"/>
  <c r="O303" i="31"/>
  <c r="P303" i="31" s="1"/>
  <c r="O317" i="31"/>
  <c r="P317" i="31" s="1"/>
  <c r="O331" i="31"/>
  <c r="P331" i="31" s="1"/>
  <c r="O347" i="31"/>
  <c r="P347" i="31" s="1"/>
  <c r="O361" i="31"/>
  <c r="P361" i="31" s="1"/>
  <c r="O375" i="31"/>
  <c r="P375" i="31" s="1"/>
  <c r="O389" i="31"/>
  <c r="P389" i="31" s="1"/>
  <c r="O403" i="31"/>
  <c r="P403" i="31" s="1"/>
  <c r="O419" i="31"/>
  <c r="P419" i="31" s="1"/>
  <c r="O433" i="31"/>
  <c r="P433" i="31" s="1"/>
  <c r="O447" i="31"/>
  <c r="P447" i="31" s="1"/>
  <c r="O461" i="31"/>
  <c r="P461" i="31" s="1"/>
  <c r="O475" i="31"/>
  <c r="P475" i="31" s="1"/>
  <c r="O491" i="31"/>
  <c r="P491" i="31" s="1"/>
  <c r="O505" i="31"/>
  <c r="P505" i="31" s="1"/>
  <c r="O519" i="31"/>
  <c r="P519" i="31" s="1"/>
  <c r="O533" i="31"/>
  <c r="P533" i="31" s="1"/>
  <c r="O547" i="31"/>
  <c r="P547" i="31" s="1"/>
  <c r="O563" i="31"/>
  <c r="P563" i="31" s="1"/>
  <c r="O577" i="31"/>
  <c r="P577" i="31" s="1"/>
  <c r="O591" i="31"/>
  <c r="P591" i="31" s="1"/>
  <c r="O605" i="31"/>
  <c r="P605" i="31" s="1"/>
  <c r="O619" i="31"/>
  <c r="P619" i="31" s="1"/>
  <c r="O635" i="31"/>
  <c r="P635" i="31" s="1"/>
  <c r="O649" i="31"/>
  <c r="P649" i="31" s="1"/>
  <c r="O663" i="31"/>
  <c r="P663" i="31" s="1"/>
  <c r="O677" i="31"/>
  <c r="P677" i="31" s="1"/>
  <c r="O691" i="31"/>
  <c r="P691" i="31" s="1"/>
  <c r="O707" i="31"/>
  <c r="P707" i="31" s="1"/>
  <c r="O721" i="31"/>
  <c r="P721" i="31" s="1"/>
  <c r="O735" i="31"/>
  <c r="P735" i="31" s="1"/>
  <c r="O749" i="31"/>
  <c r="P749" i="31" s="1"/>
  <c r="O763" i="31"/>
  <c r="P763" i="31" s="1"/>
  <c r="O779" i="31"/>
  <c r="P779" i="31" s="1"/>
  <c r="O793" i="31"/>
  <c r="P793" i="31" s="1"/>
  <c r="O807" i="31"/>
  <c r="P807" i="31" s="1"/>
  <c r="O821" i="31"/>
  <c r="P821" i="31" s="1"/>
  <c r="O835" i="31"/>
  <c r="P835" i="31" s="1"/>
  <c r="O851" i="31"/>
  <c r="P851" i="31" s="1"/>
  <c r="O865" i="31"/>
  <c r="P865" i="31" s="1"/>
  <c r="O879" i="31"/>
  <c r="P879" i="31" s="1"/>
  <c r="O893" i="31"/>
  <c r="P893" i="31" s="1"/>
  <c r="O907" i="31"/>
  <c r="P907" i="31" s="1"/>
  <c r="O40" i="31"/>
  <c r="P40" i="31" s="1"/>
  <c r="O76" i="31"/>
  <c r="P76" i="31" s="1"/>
  <c r="O112" i="31"/>
  <c r="P112" i="31" s="1"/>
  <c r="O147" i="31"/>
  <c r="P147" i="31" s="1"/>
  <c r="O175" i="31"/>
  <c r="P175" i="31" s="1"/>
  <c r="O219" i="31"/>
  <c r="P219" i="31" s="1"/>
  <c r="O247" i="31"/>
  <c r="P247" i="31" s="1"/>
  <c r="O263" i="31"/>
  <c r="P263" i="31" s="1"/>
  <c r="O291" i="31"/>
  <c r="P291" i="31" s="1"/>
  <c r="O319" i="31"/>
  <c r="P319" i="31" s="1"/>
  <c r="O349" i="31"/>
  <c r="P349" i="31" s="1"/>
  <c r="O377" i="31"/>
  <c r="P377" i="31" s="1"/>
  <c r="O407" i="31"/>
  <c r="P407" i="31" s="1"/>
  <c r="O435" i="31"/>
  <c r="P435" i="31" s="1"/>
  <c r="O463" i="31"/>
  <c r="P463" i="31" s="1"/>
  <c r="O493" i="31"/>
  <c r="P493" i="31" s="1"/>
  <c r="O521" i="31"/>
  <c r="P521" i="31" s="1"/>
  <c r="O551" i="31"/>
  <c r="P551" i="31" s="1"/>
  <c r="O579" i="31"/>
  <c r="P579" i="31" s="1"/>
  <c r="O607" i="31"/>
  <c r="P607" i="31" s="1"/>
  <c r="O623" i="31"/>
  <c r="P623" i="31" s="1"/>
  <c r="O781" i="31"/>
  <c r="P781" i="31" s="1"/>
  <c r="O823" i="31"/>
  <c r="P823" i="31" s="1"/>
  <c r="O853" i="31"/>
  <c r="P853" i="31" s="1"/>
  <c r="O39" i="31"/>
  <c r="P39" i="31" s="1"/>
  <c r="O55" i="31"/>
  <c r="P55" i="31" s="1"/>
  <c r="O75" i="31"/>
  <c r="P75" i="31" s="1"/>
  <c r="O91" i="31"/>
  <c r="P91" i="31" s="1"/>
  <c r="O111" i="31"/>
  <c r="P111" i="31" s="1"/>
  <c r="O127" i="31"/>
  <c r="P127" i="31" s="1"/>
  <c r="O146" i="31"/>
  <c r="P146" i="31" s="1"/>
  <c r="O160" i="31"/>
  <c r="P160" i="31" s="1"/>
  <c r="O174" i="31"/>
  <c r="P174" i="31" s="1"/>
  <c r="O189" i="31"/>
  <c r="P189" i="31" s="1"/>
  <c r="O204" i="31"/>
  <c r="P204" i="31" s="1"/>
  <c r="O218" i="31"/>
  <c r="P218" i="31" s="1"/>
  <c r="O232" i="31"/>
  <c r="P232" i="31" s="1"/>
  <c r="O246" i="31"/>
  <c r="P246" i="31" s="1"/>
  <c r="O261" i="31"/>
  <c r="P261" i="31" s="1"/>
  <c r="O276" i="31"/>
  <c r="P276" i="31" s="1"/>
  <c r="O290" i="31"/>
  <c r="P290" i="31" s="1"/>
  <c r="O304" i="31"/>
  <c r="P304" i="31" s="1"/>
  <c r="O318" i="31"/>
  <c r="P318" i="31" s="1"/>
  <c r="O333" i="31"/>
  <c r="P333" i="31" s="1"/>
  <c r="O348" i="31"/>
  <c r="P348" i="31" s="1"/>
  <c r="O362" i="31"/>
  <c r="P362" i="31" s="1"/>
  <c r="O376" i="31"/>
  <c r="P376" i="31" s="1"/>
  <c r="O390" i="31"/>
  <c r="P390" i="31" s="1"/>
  <c r="O405" i="31"/>
  <c r="P405" i="31" s="1"/>
  <c r="O420" i="31"/>
  <c r="P420" i="31" s="1"/>
  <c r="O434" i="31"/>
  <c r="P434" i="31" s="1"/>
  <c r="O448" i="31"/>
  <c r="P448" i="31" s="1"/>
  <c r="O462" i="31"/>
  <c r="P462" i="31" s="1"/>
  <c r="O477" i="31"/>
  <c r="P477" i="31" s="1"/>
  <c r="O492" i="31"/>
  <c r="P492" i="31" s="1"/>
  <c r="O506" i="31"/>
  <c r="P506" i="31" s="1"/>
  <c r="O520" i="31"/>
  <c r="P520" i="31" s="1"/>
  <c r="O534" i="31"/>
  <c r="P534" i="31" s="1"/>
  <c r="O549" i="31"/>
  <c r="P549" i="31" s="1"/>
  <c r="O564" i="31"/>
  <c r="P564" i="31" s="1"/>
  <c r="O578" i="31"/>
  <c r="P578" i="31" s="1"/>
  <c r="O592" i="31"/>
  <c r="P592" i="31" s="1"/>
  <c r="O606" i="31"/>
  <c r="P606" i="31" s="1"/>
  <c r="O621" i="31"/>
  <c r="P621" i="31" s="1"/>
  <c r="O636" i="31"/>
  <c r="P636" i="31" s="1"/>
  <c r="O650" i="31"/>
  <c r="P650" i="31" s="1"/>
  <c r="O664" i="31"/>
  <c r="P664" i="31" s="1"/>
  <c r="O678" i="31"/>
  <c r="P678" i="31" s="1"/>
  <c r="O693" i="31"/>
  <c r="P693" i="31" s="1"/>
  <c r="O708" i="31"/>
  <c r="P708" i="31" s="1"/>
  <c r="O722" i="31"/>
  <c r="P722" i="31" s="1"/>
  <c r="O736" i="31"/>
  <c r="P736" i="31" s="1"/>
  <c r="O750" i="31"/>
  <c r="P750" i="31" s="1"/>
  <c r="O765" i="31"/>
  <c r="P765" i="31" s="1"/>
  <c r="O780" i="31"/>
  <c r="P780" i="31" s="1"/>
  <c r="O794" i="31"/>
  <c r="P794" i="31" s="1"/>
  <c r="O808" i="31"/>
  <c r="P808" i="31" s="1"/>
  <c r="O822" i="31"/>
  <c r="P822" i="31" s="1"/>
  <c r="O837" i="31"/>
  <c r="P837" i="31" s="1"/>
  <c r="O852" i="31"/>
  <c r="P852" i="31" s="1"/>
  <c r="O866" i="31"/>
  <c r="P866" i="31" s="1"/>
  <c r="O880" i="31"/>
  <c r="P880" i="31" s="1"/>
  <c r="O894" i="31"/>
  <c r="P894" i="31" s="1"/>
  <c r="O909" i="31"/>
  <c r="P909" i="31" s="1"/>
  <c r="O60" i="31"/>
  <c r="P60" i="31" s="1"/>
  <c r="O96" i="31"/>
  <c r="P96" i="31" s="1"/>
  <c r="O132" i="31"/>
  <c r="P132" i="31" s="1"/>
  <c r="O161" i="31"/>
  <c r="P161" i="31" s="1"/>
  <c r="O191" i="31"/>
  <c r="P191" i="31" s="1"/>
  <c r="O205" i="31"/>
  <c r="P205" i="31" s="1"/>
  <c r="O233" i="31"/>
  <c r="P233" i="31" s="1"/>
  <c r="O277" i="31"/>
  <c r="P277" i="31" s="1"/>
  <c r="O305" i="31"/>
  <c r="P305" i="31" s="1"/>
  <c r="O335" i="31"/>
  <c r="P335" i="31" s="1"/>
  <c r="O363" i="31"/>
  <c r="P363" i="31" s="1"/>
  <c r="O391" i="31"/>
  <c r="P391" i="31" s="1"/>
  <c r="O421" i="31"/>
  <c r="P421" i="31" s="1"/>
  <c r="O449" i="31"/>
  <c r="P449" i="31" s="1"/>
  <c r="O479" i="31"/>
  <c r="P479" i="31" s="1"/>
  <c r="O507" i="31"/>
  <c r="P507" i="31" s="1"/>
  <c r="O535" i="31"/>
  <c r="P535" i="31" s="1"/>
  <c r="O565" i="31"/>
  <c r="P565" i="31" s="1"/>
  <c r="O593" i="31"/>
  <c r="P593" i="31" s="1"/>
  <c r="O637" i="31"/>
  <c r="P637" i="31" s="1"/>
  <c r="O651" i="31"/>
  <c r="P651" i="31" s="1"/>
  <c r="O665" i="31"/>
  <c r="P665" i="31" s="1"/>
  <c r="O679" i="31"/>
  <c r="P679" i="31" s="1"/>
  <c r="O695" i="31"/>
  <c r="P695" i="31" s="1"/>
  <c r="O709" i="31"/>
  <c r="P709" i="31" s="1"/>
  <c r="O723" i="31"/>
  <c r="P723" i="31" s="1"/>
  <c r="O737" i="31"/>
  <c r="P737" i="31" s="1"/>
  <c r="O751" i="31"/>
  <c r="P751" i="31" s="1"/>
  <c r="O767" i="31"/>
  <c r="P767" i="31" s="1"/>
  <c r="O795" i="31"/>
  <c r="P795" i="31" s="1"/>
  <c r="O809" i="31"/>
  <c r="P809" i="31" s="1"/>
  <c r="O839" i="31"/>
  <c r="P839" i="31" s="1"/>
  <c r="O867" i="31"/>
  <c r="P867" i="31" s="1"/>
  <c r="O895" i="31"/>
  <c r="P895" i="31" s="1"/>
  <c r="O911" i="31"/>
  <c r="P911" i="31" s="1"/>
  <c r="O42" i="31"/>
  <c r="P42" i="31" s="1"/>
  <c r="O65" i="31"/>
  <c r="P65" i="31" s="1"/>
  <c r="O88" i="31"/>
  <c r="P88" i="31" s="1"/>
  <c r="O114" i="31"/>
  <c r="P114" i="31" s="1"/>
  <c r="O137" i="31"/>
  <c r="P137" i="31" s="1"/>
  <c r="O157" i="31"/>
  <c r="P157" i="31" s="1"/>
  <c r="O179" i="31"/>
  <c r="P179" i="31" s="1"/>
  <c r="O196" i="31"/>
  <c r="P196" i="31" s="1"/>
  <c r="O215" i="31"/>
  <c r="P215" i="31" s="1"/>
  <c r="O235" i="31"/>
  <c r="P235" i="31" s="1"/>
  <c r="O254" i="31"/>
  <c r="P254" i="31" s="1"/>
  <c r="O271" i="31"/>
  <c r="P271" i="31" s="1"/>
  <c r="O293" i="31"/>
  <c r="P293" i="31" s="1"/>
  <c r="O312" i="31"/>
  <c r="P312" i="31" s="1"/>
  <c r="O329" i="31"/>
  <c r="P329" i="31" s="1"/>
  <c r="O351" i="31"/>
  <c r="P351" i="31" s="1"/>
  <c r="O369" i="31"/>
  <c r="P369" i="31" s="1"/>
  <c r="O387" i="31"/>
  <c r="P387" i="31" s="1"/>
  <c r="O409" i="31"/>
  <c r="P409" i="31" s="1"/>
  <c r="O426" i="31"/>
  <c r="P426" i="31" s="1"/>
  <c r="O445" i="31"/>
  <c r="P445" i="31" s="1"/>
  <c r="O467" i="31"/>
  <c r="P467" i="31" s="1"/>
  <c r="O484" i="31"/>
  <c r="P484" i="31" s="1"/>
  <c r="O503" i="31"/>
  <c r="P503" i="31" s="1"/>
  <c r="O523" i="31"/>
  <c r="P523" i="31" s="1"/>
  <c r="O542" i="31"/>
  <c r="P542" i="31" s="1"/>
  <c r="O559" i="31"/>
  <c r="P559" i="31" s="1"/>
  <c r="O581" i="31"/>
  <c r="P581" i="31" s="1"/>
  <c r="O600" i="31"/>
  <c r="P600" i="31" s="1"/>
  <c r="O617" i="31"/>
  <c r="P617" i="31" s="1"/>
  <c r="O639" i="31"/>
  <c r="P639" i="31" s="1"/>
  <c r="O657" i="31"/>
  <c r="P657" i="31" s="1"/>
  <c r="O675" i="31"/>
  <c r="P675" i="31" s="1"/>
  <c r="O697" i="31"/>
  <c r="P697" i="31" s="1"/>
  <c r="O714" i="31"/>
  <c r="P714" i="31" s="1"/>
  <c r="O733" i="31"/>
  <c r="P733" i="31" s="1"/>
  <c r="O755" i="31"/>
  <c r="P755" i="31" s="1"/>
  <c r="O772" i="31"/>
  <c r="P772" i="31" s="1"/>
  <c r="O791" i="31"/>
  <c r="P791" i="31" s="1"/>
  <c r="O811" i="31"/>
  <c r="P811" i="31" s="1"/>
  <c r="O830" i="31"/>
  <c r="P830" i="31" s="1"/>
  <c r="O847" i="31"/>
  <c r="P847" i="31" s="1"/>
  <c r="O869" i="31"/>
  <c r="P869" i="31" s="1"/>
  <c r="O887" i="31"/>
  <c r="P887" i="31" s="1"/>
  <c r="O904" i="31"/>
  <c r="P904" i="31" s="1"/>
  <c r="O158" i="31"/>
  <c r="P158" i="31" s="1"/>
  <c r="O294" i="31"/>
  <c r="P294" i="31" s="1"/>
  <c r="O352" i="31"/>
  <c r="P352" i="31" s="1"/>
  <c r="O388" i="31"/>
  <c r="P388" i="31" s="1"/>
  <c r="O427" i="31"/>
  <c r="P427" i="31" s="1"/>
  <c r="O468" i="31"/>
  <c r="P468" i="31" s="1"/>
  <c r="O504" i="31"/>
  <c r="P504" i="31" s="1"/>
  <c r="O543" i="31"/>
  <c r="P543" i="31" s="1"/>
  <c r="O582" i="31"/>
  <c r="P582" i="31" s="1"/>
  <c r="O618" i="31"/>
  <c r="P618" i="31" s="1"/>
  <c r="O640" i="31"/>
  <c r="P640" i="31" s="1"/>
  <c r="O659" i="31"/>
  <c r="P659" i="31" s="1"/>
  <c r="O698" i="31"/>
  <c r="P698" i="31" s="1"/>
  <c r="O715" i="31"/>
  <c r="P715" i="31" s="1"/>
  <c r="O756" i="31"/>
  <c r="P756" i="31" s="1"/>
  <c r="O792" i="31"/>
  <c r="P792" i="31" s="1"/>
  <c r="O831" i="31"/>
  <c r="P831" i="31" s="1"/>
  <c r="O870" i="31"/>
  <c r="P870" i="31" s="1"/>
  <c r="O905" i="31"/>
  <c r="P905" i="31" s="1"/>
  <c r="O25" i="31"/>
  <c r="P25" i="31" s="1"/>
  <c r="O97" i="31"/>
  <c r="P97" i="31" s="1"/>
  <c r="O139" i="31"/>
  <c r="P139" i="31" s="1"/>
  <c r="O198" i="31"/>
  <c r="P198" i="31" s="1"/>
  <c r="O239" i="31"/>
  <c r="P239" i="31" s="1"/>
  <c r="O278" i="31"/>
  <c r="P278" i="31" s="1"/>
  <c r="O314" i="31"/>
  <c r="P314" i="31" s="1"/>
  <c r="O353" i="31"/>
  <c r="P353" i="31" s="1"/>
  <c r="O393" i="31"/>
  <c r="P393" i="31" s="1"/>
  <c r="O429" i="31"/>
  <c r="P429" i="31" s="1"/>
  <c r="O469" i="31"/>
  <c r="P469" i="31" s="1"/>
  <c r="O508" i="31"/>
  <c r="P508" i="31" s="1"/>
  <c r="O544" i="31"/>
  <c r="P544" i="31" s="1"/>
  <c r="O583" i="31"/>
  <c r="P583" i="31" s="1"/>
  <c r="O624" i="31"/>
  <c r="P624" i="31" s="1"/>
  <c r="O660" i="31"/>
  <c r="P660" i="31" s="1"/>
  <c r="O699" i="31"/>
  <c r="P699" i="31" s="1"/>
  <c r="O738" i="31"/>
  <c r="P738" i="31" s="1"/>
  <c r="O757" i="31"/>
  <c r="P757" i="31" s="1"/>
  <c r="O815" i="31"/>
  <c r="P815" i="31" s="1"/>
  <c r="O854" i="31"/>
  <c r="P854" i="31" s="1"/>
  <c r="O889" i="31"/>
  <c r="P889" i="31" s="1"/>
  <c r="O26" i="31"/>
  <c r="P26" i="31" s="1"/>
  <c r="O72" i="31"/>
  <c r="P72" i="31" s="1"/>
  <c r="O98" i="31"/>
  <c r="P98" i="31" s="1"/>
  <c r="O121" i="31"/>
  <c r="P121" i="31" s="1"/>
  <c r="O143" i="31"/>
  <c r="P143" i="31" s="1"/>
  <c r="O163" i="31"/>
  <c r="P163" i="31" s="1"/>
  <c r="O182" i="31"/>
  <c r="P182" i="31" s="1"/>
  <c r="O199" i="31"/>
  <c r="P199" i="31" s="1"/>
  <c r="O221" i="31"/>
  <c r="P221" i="31" s="1"/>
  <c r="O240" i="31"/>
  <c r="P240" i="31" s="1"/>
  <c r="O257" i="31"/>
  <c r="P257" i="31" s="1"/>
  <c r="O279" i="31"/>
  <c r="P279" i="31" s="1"/>
  <c r="O315" i="31"/>
  <c r="P315" i="31" s="1"/>
  <c r="O354" i="31"/>
  <c r="P354" i="31" s="1"/>
  <c r="O395" i="31"/>
  <c r="P395" i="31" s="1"/>
  <c r="O431" i="31"/>
  <c r="P431" i="31" s="1"/>
  <c r="O470" i="31"/>
  <c r="P470" i="31" s="1"/>
  <c r="O509" i="31"/>
  <c r="P509" i="31" s="1"/>
  <c r="O545" i="31"/>
  <c r="P545" i="31" s="1"/>
  <c r="O585" i="31"/>
  <c r="P585" i="31" s="1"/>
  <c r="O625" i="31"/>
  <c r="P625" i="31" s="1"/>
  <c r="O661" i="31"/>
  <c r="P661" i="31" s="1"/>
  <c r="O700" i="31"/>
  <c r="P700" i="31" s="1"/>
  <c r="O739" i="31"/>
  <c r="P739" i="31" s="1"/>
  <c r="O775" i="31"/>
  <c r="P775" i="31" s="1"/>
  <c r="O797" i="31"/>
  <c r="P797" i="31" s="1"/>
  <c r="O855" i="31"/>
  <c r="P855" i="31" s="1"/>
  <c r="O890" i="31"/>
  <c r="P890" i="31" s="1"/>
  <c r="O27" i="31"/>
  <c r="P27" i="31" s="1"/>
  <c r="O99" i="31"/>
  <c r="P99" i="31" s="1"/>
  <c r="O144" i="31"/>
  <c r="P144" i="31" s="1"/>
  <c r="O183" i="31"/>
  <c r="P183" i="31" s="1"/>
  <c r="O222" i="31"/>
  <c r="P222" i="31" s="1"/>
  <c r="O258" i="31"/>
  <c r="P258" i="31" s="1"/>
  <c r="O299" i="31"/>
  <c r="P299" i="31" s="1"/>
  <c r="O338" i="31"/>
  <c r="P338" i="31" s="1"/>
  <c r="O374" i="31"/>
  <c r="P374" i="31" s="1"/>
  <c r="O413" i="31"/>
  <c r="P413" i="31" s="1"/>
  <c r="O453" i="31"/>
  <c r="P453" i="31" s="1"/>
  <c r="O489" i="31"/>
  <c r="P489" i="31" s="1"/>
  <c r="O529" i="31"/>
  <c r="P529" i="31" s="1"/>
  <c r="O568" i="31"/>
  <c r="P568" i="31" s="1"/>
  <c r="O604" i="31"/>
  <c r="P604" i="31" s="1"/>
  <c r="O643" i="31"/>
  <c r="P643" i="31" s="1"/>
  <c r="O684" i="31"/>
  <c r="P684" i="31" s="1"/>
  <c r="O720" i="31"/>
  <c r="P720" i="31" s="1"/>
  <c r="O759" i="31"/>
  <c r="P759" i="31" s="1"/>
  <c r="O798" i="31"/>
  <c r="P798" i="31" s="1"/>
  <c r="O834" i="31"/>
  <c r="P834" i="31" s="1"/>
  <c r="O875" i="31"/>
  <c r="P875" i="31" s="1"/>
  <c r="O28" i="31"/>
  <c r="P28" i="31" s="1"/>
  <c r="O77" i="31"/>
  <c r="P77" i="31" s="1"/>
  <c r="O123" i="31"/>
  <c r="P123" i="31" s="1"/>
  <c r="O167" i="31"/>
  <c r="P167" i="31" s="1"/>
  <c r="O206" i="31"/>
  <c r="P206" i="31" s="1"/>
  <c r="O242" i="31"/>
  <c r="P242" i="31" s="1"/>
  <c r="O300" i="31"/>
  <c r="P300" i="31" s="1"/>
  <c r="O339" i="31"/>
  <c r="P339" i="31" s="1"/>
  <c r="O378" i="31"/>
  <c r="P378" i="31" s="1"/>
  <c r="O414" i="31"/>
  <c r="P414" i="31" s="1"/>
  <c r="O455" i="31"/>
  <c r="P455" i="31" s="1"/>
  <c r="O494" i="31"/>
  <c r="P494" i="31" s="1"/>
  <c r="O530" i="31"/>
  <c r="P530" i="31" s="1"/>
  <c r="O569" i="31"/>
  <c r="P569" i="31" s="1"/>
  <c r="O609" i="31"/>
  <c r="P609" i="31" s="1"/>
  <c r="O645" i="31"/>
  <c r="P645" i="31" s="1"/>
  <c r="O685" i="31"/>
  <c r="P685" i="31" s="1"/>
  <c r="O724" i="31"/>
  <c r="P724" i="31" s="1"/>
  <c r="O760" i="31"/>
  <c r="P760" i="31" s="1"/>
  <c r="O799" i="31"/>
  <c r="P799" i="31" s="1"/>
  <c r="O818" i="31"/>
  <c r="P818" i="31" s="1"/>
  <c r="O857" i="31"/>
  <c r="P857" i="31" s="1"/>
  <c r="O876" i="31"/>
  <c r="P876" i="31" s="1"/>
  <c r="O914" i="31"/>
  <c r="P914" i="31" s="1"/>
  <c r="O29" i="31"/>
  <c r="O101" i="31"/>
  <c r="P101" i="31" s="1"/>
  <c r="O149" i="31"/>
  <c r="P149" i="31" s="1"/>
  <c r="O185" i="31"/>
  <c r="P185" i="31" s="1"/>
  <c r="O225" i="31"/>
  <c r="P225" i="31" s="1"/>
  <c r="O265" i="31"/>
  <c r="P265" i="31" s="1"/>
  <c r="O301" i="31"/>
  <c r="P301" i="31" s="1"/>
  <c r="O340" i="31"/>
  <c r="P340" i="31" s="1"/>
  <c r="O379" i="31"/>
  <c r="P379" i="31" s="1"/>
  <c r="O415" i="31"/>
  <c r="P415" i="31" s="1"/>
  <c r="O43" i="31"/>
  <c r="P43" i="31" s="1"/>
  <c r="O66" i="31"/>
  <c r="P66" i="31" s="1"/>
  <c r="O89" i="31"/>
  <c r="P89" i="31" s="1"/>
  <c r="O115" i="31"/>
  <c r="P115" i="31" s="1"/>
  <c r="O138" i="31"/>
  <c r="P138" i="31" s="1"/>
  <c r="O180" i="31"/>
  <c r="P180" i="31" s="1"/>
  <c r="O197" i="31"/>
  <c r="P197" i="31" s="1"/>
  <c r="O216" i="31"/>
  <c r="P216" i="31" s="1"/>
  <c r="O237" i="31"/>
  <c r="P237" i="31" s="1"/>
  <c r="O255" i="31"/>
  <c r="P255" i="31" s="1"/>
  <c r="O273" i="31"/>
  <c r="P273" i="31" s="1"/>
  <c r="O313" i="31"/>
  <c r="P313" i="31" s="1"/>
  <c r="O330" i="31"/>
  <c r="P330" i="31" s="1"/>
  <c r="O371" i="31"/>
  <c r="P371" i="31" s="1"/>
  <c r="O410" i="31"/>
  <c r="P410" i="31" s="1"/>
  <c r="O446" i="31"/>
  <c r="P446" i="31" s="1"/>
  <c r="O485" i="31"/>
  <c r="P485" i="31" s="1"/>
  <c r="O525" i="31"/>
  <c r="P525" i="31" s="1"/>
  <c r="O561" i="31"/>
  <c r="P561" i="31" s="1"/>
  <c r="O601" i="31"/>
  <c r="P601" i="31" s="1"/>
  <c r="O676" i="31"/>
  <c r="P676" i="31" s="1"/>
  <c r="O734" i="31"/>
  <c r="P734" i="31" s="1"/>
  <c r="O773" i="31"/>
  <c r="P773" i="31" s="1"/>
  <c r="O813" i="31"/>
  <c r="P813" i="31" s="1"/>
  <c r="O849" i="31"/>
  <c r="P849" i="31" s="1"/>
  <c r="O888" i="31"/>
  <c r="P888" i="31" s="1"/>
  <c r="O48" i="31"/>
  <c r="P48" i="31" s="1"/>
  <c r="O67" i="31"/>
  <c r="P67" i="31" s="1"/>
  <c r="O120" i="31"/>
  <c r="P120" i="31" s="1"/>
  <c r="O162" i="31"/>
  <c r="P162" i="31" s="1"/>
  <c r="O181" i="31"/>
  <c r="P181" i="31" s="1"/>
  <c r="O220" i="31"/>
  <c r="P220" i="31" s="1"/>
  <c r="O256" i="31"/>
  <c r="P256" i="31" s="1"/>
  <c r="O295" i="31"/>
  <c r="P295" i="31" s="1"/>
  <c r="O336" i="31"/>
  <c r="P336" i="31" s="1"/>
  <c r="O372" i="31"/>
  <c r="P372" i="31" s="1"/>
  <c r="O411" i="31"/>
  <c r="P411" i="31" s="1"/>
  <c r="O450" i="31"/>
  <c r="P450" i="31" s="1"/>
  <c r="O486" i="31"/>
  <c r="P486" i="31" s="1"/>
  <c r="O527" i="31"/>
  <c r="P527" i="31" s="1"/>
  <c r="O566" i="31"/>
  <c r="P566" i="31" s="1"/>
  <c r="O602" i="31"/>
  <c r="P602" i="31" s="1"/>
  <c r="O641" i="31"/>
  <c r="P641" i="31" s="1"/>
  <c r="O681" i="31"/>
  <c r="P681" i="31" s="1"/>
  <c r="O717" i="31"/>
  <c r="P717" i="31" s="1"/>
  <c r="O774" i="31"/>
  <c r="P774" i="31" s="1"/>
  <c r="O796" i="31"/>
  <c r="P796" i="31" s="1"/>
  <c r="O832" i="31"/>
  <c r="P832" i="31" s="1"/>
  <c r="O871" i="31"/>
  <c r="P871" i="31" s="1"/>
  <c r="O906" i="31"/>
  <c r="P906" i="31" s="1"/>
  <c r="O49" i="31"/>
  <c r="P49" i="31" s="1"/>
  <c r="O297" i="31"/>
  <c r="P297" i="31" s="1"/>
  <c r="O337" i="31"/>
  <c r="P337" i="31" s="1"/>
  <c r="O373" i="31"/>
  <c r="P373" i="31" s="1"/>
  <c r="O412" i="31"/>
  <c r="P412" i="31" s="1"/>
  <c r="O451" i="31"/>
  <c r="P451" i="31" s="1"/>
  <c r="O487" i="31"/>
  <c r="P487" i="31" s="1"/>
  <c r="O528" i="31"/>
  <c r="P528" i="31" s="1"/>
  <c r="O567" i="31"/>
  <c r="P567" i="31" s="1"/>
  <c r="O603" i="31"/>
  <c r="P603" i="31" s="1"/>
  <c r="O642" i="31"/>
  <c r="P642" i="31" s="1"/>
  <c r="O683" i="31"/>
  <c r="P683" i="31" s="1"/>
  <c r="O719" i="31"/>
  <c r="P719" i="31" s="1"/>
  <c r="O758" i="31"/>
  <c r="P758" i="31" s="1"/>
  <c r="O816" i="31"/>
  <c r="P816" i="31" s="1"/>
  <c r="O833" i="31"/>
  <c r="P833" i="31" s="1"/>
  <c r="O873" i="31"/>
  <c r="P873" i="31" s="1"/>
  <c r="O912" i="31"/>
  <c r="P912" i="31" s="1"/>
  <c r="O50" i="31"/>
  <c r="P50" i="31" s="1"/>
  <c r="O73" i="31"/>
  <c r="P73" i="31" s="1"/>
  <c r="O122" i="31"/>
  <c r="P122" i="31" s="1"/>
  <c r="O165" i="31"/>
  <c r="P165" i="31" s="1"/>
  <c r="O201" i="31"/>
  <c r="P201" i="31" s="1"/>
  <c r="O241" i="31"/>
  <c r="P241" i="31" s="1"/>
  <c r="O280" i="31"/>
  <c r="P280" i="31" s="1"/>
  <c r="O316" i="31"/>
  <c r="P316" i="31" s="1"/>
  <c r="O355" i="31"/>
  <c r="P355" i="31" s="1"/>
  <c r="O396" i="31"/>
  <c r="P396" i="31" s="1"/>
  <c r="O432" i="31"/>
  <c r="P432" i="31" s="1"/>
  <c r="O471" i="31"/>
  <c r="P471" i="31" s="1"/>
  <c r="O510" i="31"/>
  <c r="P510" i="31" s="1"/>
  <c r="O546" i="31"/>
  <c r="P546" i="31" s="1"/>
  <c r="O587" i="31"/>
  <c r="P587" i="31" s="1"/>
  <c r="O626" i="31"/>
  <c r="P626" i="31" s="1"/>
  <c r="O662" i="31"/>
  <c r="P662" i="31" s="1"/>
  <c r="O701" i="31"/>
  <c r="P701" i="31" s="1"/>
  <c r="O741" i="31"/>
  <c r="P741" i="31" s="1"/>
  <c r="O777" i="31"/>
  <c r="P777" i="31" s="1"/>
  <c r="O817" i="31"/>
  <c r="P817" i="31" s="1"/>
  <c r="O856" i="31"/>
  <c r="P856" i="31" s="1"/>
  <c r="O891" i="31"/>
  <c r="P891" i="31" s="1"/>
  <c r="O913" i="31"/>
  <c r="P913" i="31" s="1"/>
  <c r="O51" i="31"/>
  <c r="P51" i="31" s="1"/>
  <c r="O100" i="31"/>
  <c r="P100" i="31" s="1"/>
  <c r="O148" i="31"/>
  <c r="P148" i="31" s="1"/>
  <c r="O184" i="31"/>
  <c r="P184" i="31" s="1"/>
  <c r="O223" i="31"/>
  <c r="P223" i="31" s="1"/>
  <c r="O264" i="31"/>
  <c r="P264" i="31" s="1"/>
  <c r="O281" i="31"/>
  <c r="P281" i="31" s="1"/>
  <c r="O321" i="31"/>
  <c r="P321" i="31" s="1"/>
  <c r="O357" i="31"/>
  <c r="P357" i="31" s="1"/>
  <c r="O397" i="31"/>
  <c r="P397" i="31" s="1"/>
  <c r="O436" i="31"/>
  <c r="P436" i="31" s="1"/>
  <c r="O472" i="31"/>
  <c r="P472" i="31" s="1"/>
  <c r="O511" i="31"/>
  <c r="P511" i="31" s="1"/>
  <c r="O552" i="31"/>
  <c r="P552" i="31" s="1"/>
  <c r="O588" i="31"/>
  <c r="P588" i="31" s="1"/>
  <c r="O627" i="31"/>
  <c r="P627" i="31" s="1"/>
  <c r="O666" i="31"/>
  <c r="P666" i="31" s="1"/>
  <c r="O702" i="31"/>
  <c r="P702" i="31" s="1"/>
  <c r="O743" i="31"/>
  <c r="P743" i="31" s="1"/>
  <c r="O782" i="31"/>
  <c r="P782" i="31" s="1"/>
  <c r="O840" i="31"/>
  <c r="P840" i="31" s="1"/>
  <c r="O892" i="31"/>
  <c r="P892" i="31" s="1"/>
  <c r="O52" i="31"/>
  <c r="P52" i="31" s="1"/>
  <c r="O78" i="31"/>
  <c r="P78" i="31" s="1"/>
  <c r="O124" i="31"/>
  <c r="P124" i="31" s="1"/>
  <c r="O168" i="31"/>
  <c r="P168" i="31" s="1"/>
  <c r="O207" i="31"/>
  <c r="P207" i="31" s="1"/>
  <c r="O243" i="31"/>
  <c r="P243" i="31" s="1"/>
  <c r="O282" i="31"/>
  <c r="P282" i="31" s="1"/>
  <c r="O323" i="31"/>
  <c r="P323" i="31" s="1"/>
  <c r="O359" i="31"/>
  <c r="P359" i="31" s="1"/>
  <c r="O398" i="31"/>
  <c r="P398" i="31" s="1"/>
  <c r="O437" i="31"/>
  <c r="P437" i="31" s="1"/>
  <c r="O79" i="31"/>
  <c r="P79" i="31" s="1"/>
  <c r="O134" i="31"/>
  <c r="P134" i="31" s="1"/>
  <c r="O177" i="31"/>
  <c r="P177" i="31" s="1"/>
  <c r="O228" i="31"/>
  <c r="P228" i="31" s="1"/>
  <c r="O269" i="31"/>
  <c r="P269" i="31" s="1"/>
  <c r="O324" i="31"/>
  <c r="P324" i="31" s="1"/>
  <c r="O365" i="31"/>
  <c r="P365" i="31" s="1"/>
  <c r="O408" i="31"/>
  <c r="P408" i="31" s="1"/>
  <c r="O457" i="31"/>
  <c r="P457" i="31" s="1"/>
  <c r="O496" i="31"/>
  <c r="P496" i="31" s="1"/>
  <c r="O532" i="31"/>
  <c r="P532" i="31" s="1"/>
  <c r="O571" i="31"/>
  <c r="P571" i="31" s="1"/>
  <c r="O612" i="31"/>
  <c r="P612" i="31" s="1"/>
  <c r="O648" i="31"/>
  <c r="P648" i="31" s="1"/>
  <c r="O687" i="31"/>
  <c r="P687" i="31" s="1"/>
  <c r="O726" i="31"/>
  <c r="P726" i="31" s="1"/>
  <c r="O762" i="31"/>
  <c r="P762" i="31" s="1"/>
  <c r="O803" i="31"/>
  <c r="P803" i="31" s="1"/>
  <c r="O842" i="31"/>
  <c r="P842" i="31" s="1"/>
  <c r="O878" i="31"/>
  <c r="P878" i="31" s="1"/>
  <c r="O916" i="31"/>
  <c r="P916" i="31" s="1"/>
  <c r="O135" i="31"/>
  <c r="P135" i="31" s="1"/>
  <c r="O186" i="31"/>
  <c r="P186" i="31" s="1"/>
  <c r="O229" i="31"/>
  <c r="P229" i="31" s="1"/>
  <c r="O325" i="31"/>
  <c r="P325" i="31" s="1"/>
  <c r="O366" i="31"/>
  <c r="P366" i="31" s="1"/>
  <c r="O458" i="31"/>
  <c r="P458" i="31" s="1"/>
  <c r="O537" i="31"/>
  <c r="P537" i="31" s="1"/>
  <c r="O613" i="31"/>
  <c r="P613" i="31" s="1"/>
  <c r="O688" i="31"/>
  <c r="P688" i="31" s="1"/>
  <c r="O768" i="31"/>
  <c r="P768" i="31" s="1"/>
  <c r="O843" i="31"/>
  <c r="P843" i="31" s="1"/>
  <c r="O917" i="31"/>
  <c r="P917" i="31" s="1"/>
  <c r="O30" i="31"/>
  <c r="P30" i="31" s="1"/>
  <c r="O192" i="31"/>
  <c r="P192" i="31" s="1"/>
  <c r="O283" i="31"/>
  <c r="P283" i="31" s="1"/>
  <c r="O367" i="31"/>
  <c r="P367" i="31" s="1"/>
  <c r="O459" i="31"/>
  <c r="P459" i="31" s="1"/>
  <c r="O539" i="31"/>
  <c r="P539" i="31" s="1"/>
  <c r="O614" i="31"/>
  <c r="P614" i="31" s="1"/>
  <c r="O689" i="31"/>
  <c r="P689" i="31" s="1"/>
  <c r="O769" i="31"/>
  <c r="P769" i="31" s="1"/>
  <c r="O844" i="31"/>
  <c r="P844" i="31" s="1"/>
  <c r="O918" i="31"/>
  <c r="P918" i="31" s="1"/>
  <c r="O31" i="31"/>
  <c r="O193" i="31"/>
  <c r="P193" i="31" s="1"/>
  <c r="O234" i="31"/>
  <c r="P234" i="31" s="1"/>
  <c r="O327" i="31"/>
  <c r="P327" i="31" s="1"/>
  <c r="O423" i="31"/>
  <c r="P423" i="31" s="1"/>
  <c r="O499" i="31"/>
  <c r="P499" i="31" s="1"/>
  <c r="O576" i="31"/>
  <c r="P576" i="31" s="1"/>
  <c r="O654" i="31"/>
  <c r="P654" i="31" s="1"/>
  <c r="O690" i="31"/>
  <c r="P690" i="31" s="1"/>
  <c r="O770" i="31"/>
  <c r="P770" i="31" s="1"/>
  <c r="O883" i="31"/>
  <c r="P883" i="31" s="1"/>
  <c r="O36" i="31"/>
  <c r="P36" i="31" s="1"/>
  <c r="O151" i="31"/>
  <c r="P151" i="31" s="1"/>
  <c r="O244" i="31"/>
  <c r="P244" i="31" s="1"/>
  <c r="O328" i="31"/>
  <c r="P328" i="31" s="1"/>
  <c r="O424" i="31"/>
  <c r="P424" i="31" s="1"/>
  <c r="O501" i="31"/>
  <c r="P501" i="31" s="1"/>
  <c r="O580" i="31"/>
  <c r="P580" i="31" s="1"/>
  <c r="O655" i="31"/>
  <c r="P655" i="31" s="1"/>
  <c r="O732" i="31"/>
  <c r="P732" i="31" s="1"/>
  <c r="O810" i="31"/>
  <c r="P810" i="31" s="1"/>
  <c r="O885" i="31"/>
  <c r="P885" i="31" s="1"/>
  <c r="O37" i="31"/>
  <c r="P37" i="31" s="1"/>
  <c r="O153" i="31"/>
  <c r="P153" i="31" s="1"/>
  <c r="O249" i="31"/>
  <c r="P249" i="31" s="1"/>
  <c r="O341" i="31"/>
  <c r="P341" i="31" s="1"/>
  <c r="O425" i="31"/>
  <c r="P425" i="31" s="1"/>
  <c r="O513" i="31"/>
  <c r="P513" i="31" s="1"/>
  <c r="O589" i="31"/>
  <c r="P589" i="31" s="1"/>
  <c r="O667" i="31"/>
  <c r="P667" i="31" s="1"/>
  <c r="O744" i="31"/>
  <c r="P744" i="31" s="1"/>
  <c r="O819" i="31"/>
  <c r="P819" i="31" s="1"/>
  <c r="O897" i="31"/>
  <c r="P897" i="31" s="1"/>
  <c r="O41" i="31"/>
  <c r="P41" i="31" s="1"/>
  <c r="O208" i="31"/>
  <c r="P208" i="31" s="1"/>
  <c r="O292" i="31"/>
  <c r="P292" i="31" s="1"/>
  <c r="O385" i="31"/>
  <c r="P385" i="31" s="1"/>
  <c r="O474" i="31"/>
  <c r="P474" i="31" s="1"/>
  <c r="O554" i="31"/>
  <c r="P554" i="31" s="1"/>
  <c r="O590" i="31"/>
  <c r="P590" i="31" s="1"/>
  <c r="O669" i="31"/>
  <c r="P669" i="31" s="1"/>
  <c r="O745" i="31"/>
  <c r="P745" i="31" s="1"/>
  <c r="O859" i="31"/>
  <c r="P859" i="31" s="1"/>
  <c r="O53" i="31"/>
  <c r="P53" i="31" s="1"/>
  <c r="O209" i="31"/>
  <c r="P209" i="31" s="1"/>
  <c r="O302" i="31"/>
  <c r="P302" i="31" s="1"/>
  <c r="O386" i="31"/>
  <c r="P386" i="31" s="1"/>
  <c r="O480" i="31"/>
  <c r="P480" i="31" s="1"/>
  <c r="O555" i="31"/>
  <c r="P555" i="31" s="1"/>
  <c r="O630" i="31"/>
  <c r="P630" i="31" s="1"/>
  <c r="O710" i="31"/>
  <c r="P710" i="31" s="1"/>
  <c r="O785" i="31"/>
  <c r="P785" i="31" s="1"/>
  <c r="O861" i="31"/>
  <c r="P861" i="31" s="1"/>
  <c r="O61" i="31"/>
  <c r="P61" i="31" s="1"/>
  <c r="O210" i="31"/>
  <c r="P210" i="31" s="1"/>
  <c r="O306" i="31"/>
  <c r="P306" i="31" s="1"/>
  <c r="O399" i="31"/>
  <c r="P399" i="31" s="1"/>
  <c r="O481" i="31"/>
  <c r="P481" i="31" s="1"/>
  <c r="O517" i="31"/>
  <c r="P517" i="31" s="1"/>
  <c r="O595" i="31"/>
  <c r="P595" i="31" s="1"/>
  <c r="O672" i="31"/>
  <c r="P672" i="31" s="1"/>
  <c r="O711" i="31"/>
  <c r="P711" i="31" s="1"/>
  <c r="O786" i="31"/>
  <c r="P786" i="31" s="1"/>
  <c r="O901" i="31"/>
  <c r="P901" i="31" s="1"/>
  <c r="O113" i="31"/>
  <c r="P113" i="31" s="1"/>
  <c r="O170" i="31"/>
  <c r="P170" i="31" s="1"/>
  <c r="O266" i="31"/>
  <c r="P266" i="31" s="1"/>
  <c r="O350" i="31"/>
  <c r="P350" i="31" s="1"/>
  <c r="O443" i="31"/>
  <c r="P443" i="31" s="1"/>
  <c r="O518" i="31"/>
  <c r="P518" i="31" s="1"/>
  <c r="O597" i="31"/>
  <c r="P597" i="31" s="1"/>
  <c r="O673" i="31"/>
  <c r="P673" i="31" s="1"/>
  <c r="O748" i="31"/>
  <c r="P748" i="31" s="1"/>
  <c r="O828" i="31"/>
  <c r="P828" i="31" s="1"/>
  <c r="O902" i="31"/>
  <c r="P902" i="31" s="1"/>
  <c r="O125" i="31"/>
  <c r="P125" i="31" s="1"/>
  <c r="O171" i="31"/>
  <c r="P171" i="31" s="1"/>
  <c r="O267" i="31"/>
  <c r="P267" i="31" s="1"/>
  <c r="O360" i="31"/>
  <c r="P360" i="31" s="1"/>
  <c r="O444" i="31"/>
  <c r="P444" i="31" s="1"/>
  <c r="O522" i="31"/>
  <c r="P522" i="31" s="1"/>
  <c r="O599" i="31"/>
  <c r="P599" i="31" s="1"/>
  <c r="O674" i="31"/>
  <c r="P674" i="31" s="1"/>
  <c r="O789" i="31"/>
  <c r="P789" i="31" s="1"/>
  <c r="O868" i="31"/>
  <c r="P868" i="31" s="1"/>
  <c r="O64" i="31"/>
  <c r="P64" i="31" s="1"/>
  <c r="O172" i="31"/>
  <c r="P172" i="31" s="1"/>
  <c r="O268" i="31"/>
  <c r="P268" i="31" s="1"/>
  <c r="O364" i="31"/>
  <c r="P364" i="31" s="1"/>
  <c r="O456" i="31"/>
  <c r="P456" i="31" s="1"/>
  <c r="O495" i="31"/>
  <c r="P495" i="31" s="1"/>
  <c r="O570" i="31"/>
  <c r="P570" i="31" s="1"/>
  <c r="O647" i="31"/>
  <c r="P647" i="31" s="1"/>
  <c r="O725" i="31"/>
  <c r="P725" i="31" s="1"/>
  <c r="O801" i="31"/>
  <c r="P801" i="31" s="1"/>
  <c r="O877" i="31"/>
  <c r="P877" i="31" s="1"/>
  <c r="O84" i="31"/>
  <c r="P84" i="31" s="1"/>
  <c r="O270" i="31"/>
  <c r="P270" i="31" s="1"/>
  <c r="O417" i="31"/>
  <c r="P417" i="31" s="1"/>
  <c r="O497" i="31"/>
  <c r="P497" i="31" s="1"/>
  <c r="O573" i="31"/>
  <c r="P573" i="31" s="1"/>
  <c r="O652" i="31"/>
  <c r="P652" i="31" s="1"/>
  <c r="O727" i="31"/>
  <c r="P727" i="31" s="1"/>
  <c r="O804" i="31"/>
  <c r="P804" i="31" s="1"/>
  <c r="O881" i="31"/>
  <c r="P881" i="31" s="1"/>
  <c r="O85" i="31"/>
  <c r="P85" i="31" s="1"/>
  <c r="O136" i="31"/>
  <c r="P136" i="31" s="1"/>
  <c r="O230" i="31"/>
  <c r="P230" i="31" s="1"/>
  <c r="O326" i="31"/>
  <c r="P326" i="31" s="1"/>
  <c r="O422" i="31"/>
  <c r="P422" i="31" s="1"/>
  <c r="O498" i="31"/>
  <c r="P498" i="31" s="1"/>
  <c r="O575" i="31"/>
  <c r="P575" i="31" s="1"/>
  <c r="O653" i="31"/>
  <c r="P653" i="31" s="1"/>
  <c r="O729" i="31"/>
  <c r="P729" i="31" s="1"/>
  <c r="O805" i="31"/>
  <c r="P805" i="31" s="1"/>
  <c r="O882" i="31"/>
  <c r="P882" i="31" s="1"/>
  <c r="O86" i="31"/>
  <c r="P86" i="31" s="1"/>
  <c r="O150" i="31"/>
  <c r="P150" i="31" s="1"/>
  <c r="O285" i="31"/>
  <c r="P285" i="31" s="1"/>
  <c r="O381" i="31"/>
  <c r="P381" i="31" s="1"/>
  <c r="O460" i="31"/>
  <c r="P460" i="31" s="1"/>
  <c r="O540" i="31"/>
  <c r="P540" i="31" s="1"/>
  <c r="O615" i="31"/>
  <c r="P615" i="31" s="1"/>
  <c r="O731" i="31"/>
  <c r="P731" i="31" s="1"/>
  <c r="O806" i="31"/>
  <c r="P806" i="31" s="1"/>
  <c r="O845" i="31"/>
  <c r="P845" i="31" s="1"/>
  <c r="O919" i="31"/>
  <c r="P919" i="31" s="1"/>
  <c r="O87" i="31"/>
  <c r="P87" i="31" s="1"/>
  <c r="O194" i="31"/>
  <c r="P194" i="31" s="1"/>
  <c r="O287" i="31"/>
  <c r="P287" i="31" s="1"/>
  <c r="O383" i="31"/>
  <c r="P383" i="31" s="1"/>
  <c r="O465" i="31"/>
  <c r="P465" i="31" s="1"/>
  <c r="O541" i="31"/>
  <c r="P541" i="31" s="1"/>
  <c r="O616" i="31"/>
  <c r="P616" i="31" s="1"/>
  <c r="O696" i="31"/>
  <c r="P696" i="31" s="1"/>
  <c r="O771" i="31"/>
  <c r="P771" i="31" s="1"/>
  <c r="O846" i="31"/>
  <c r="P846" i="31" s="1"/>
  <c r="O102" i="31"/>
  <c r="P102" i="31" s="1"/>
  <c r="O195" i="31"/>
  <c r="P195" i="31" s="1"/>
  <c r="O288" i="31"/>
  <c r="P288" i="31" s="1"/>
  <c r="O384" i="31"/>
  <c r="P384" i="31" s="1"/>
  <c r="O473" i="31"/>
  <c r="P473" i="31" s="1"/>
  <c r="O553" i="31"/>
  <c r="P553" i="31" s="1"/>
  <c r="O628" i="31"/>
  <c r="P628" i="31" s="1"/>
  <c r="O703" i="31"/>
  <c r="P703" i="31" s="1"/>
  <c r="O783" i="31"/>
  <c r="P783" i="31" s="1"/>
  <c r="O858" i="31"/>
  <c r="P858" i="31" s="1"/>
  <c r="O103" i="31"/>
  <c r="P103" i="31" s="1"/>
  <c r="O155" i="31"/>
  <c r="P155" i="31" s="1"/>
  <c r="O251" i="31"/>
  <c r="P251" i="31" s="1"/>
  <c r="O342" i="31"/>
  <c r="P342" i="31" s="1"/>
  <c r="O438" i="31"/>
  <c r="P438" i="31" s="1"/>
  <c r="O515" i="31"/>
  <c r="P515" i="31" s="1"/>
  <c r="O629" i="31"/>
  <c r="P629" i="31" s="1"/>
  <c r="O705" i="31"/>
  <c r="P705" i="31" s="1"/>
  <c r="O784" i="31"/>
  <c r="P784" i="31" s="1"/>
  <c r="O820" i="31"/>
  <c r="P820" i="31" s="1"/>
  <c r="O899" i="31"/>
  <c r="P899" i="31" s="1"/>
  <c r="O108" i="31"/>
  <c r="P108" i="31" s="1"/>
  <c r="O156" i="31"/>
  <c r="P156" i="31" s="1"/>
  <c r="O252" i="31"/>
  <c r="P252" i="31" s="1"/>
  <c r="O343" i="31"/>
  <c r="P343" i="31" s="1"/>
  <c r="O439" i="31"/>
  <c r="P439" i="31" s="1"/>
  <c r="O516" i="31"/>
  <c r="P516" i="31" s="1"/>
  <c r="O594" i="31"/>
  <c r="P594" i="31" s="1"/>
  <c r="O671" i="31"/>
  <c r="P671" i="31" s="1"/>
  <c r="O746" i="31"/>
  <c r="P746" i="31" s="1"/>
  <c r="O825" i="31"/>
  <c r="P825" i="31" s="1"/>
  <c r="O900" i="31"/>
  <c r="P900" i="31" s="1"/>
  <c r="O109" i="31"/>
  <c r="P109" i="31" s="1"/>
  <c r="O169" i="31"/>
  <c r="P169" i="31" s="1"/>
  <c r="O253" i="31"/>
  <c r="P253" i="31" s="1"/>
  <c r="O345" i="31"/>
  <c r="P345" i="31" s="1"/>
  <c r="O441" i="31"/>
  <c r="P441" i="31" s="1"/>
  <c r="O556" i="31"/>
  <c r="P556" i="31" s="1"/>
  <c r="O631" i="31"/>
  <c r="P631" i="31" s="1"/>
  <c r="O747" i="31"/>
  <c r="P747" i="31" s="1"/>
  <c r="O827" i="31"/>
  <c r="P827" i="31" s="1"/>
  <c r="O863" i="31"/>
  <c r="P863" i="31" s="1"/>
  <c r="O62" i="31"/>
  <c r="P62" i="31" s="1"/>
  <c r="O211" i="31"/>
  <c r="P211" i="31" s="1"/>
  <c r="O307" i="31"/>
  <c r="P307" i="31" s="1"/>
  <c r="O400" i="31"/>
  <c r="P400" i="31" s="1"/>
  <c r="O482" i="31"/>
  <c r="P482" i="31" s="1"/>
  <c r="O557" i="31"/>
  <c r="P557" i="31" s="1"/>
  <c r="O633" i="31"/>
  <c r="P633" i="31" s="1"/>
  <c r="O712" i="31"/>
  <c r="P712" i="31" s="1"/>
  <c r="O787" i="31"/>
  <c r="P787" i="31" s="1"/>
  <c r="O864" i="31"/>
  <c r="P864" i="31" s="1"/>
  <c r="O63" i="31"/>
  <c r="P63" i="31" s="1"/>
  <c r="O213" i="31"/>
  <c r="P213" i="31" s="1"/>
  <c r="O309" i="31"/>
  <c r="P309" i="31" s="1"/>
  <c r="O401" i="31"/>
  <c r="P401" i="31" s="1"/>
  <c r="O483" i="31"/>
  <c r="P483" i="31" s="1"/>
  <c r="O558" i="31"/>
  <c r="P558" i="31" s="1"/>
  <c r="O638" i="31"/>
  <c r="P638" i="31" s="1"/>
  <c r="O713" i="31"/>
  <c r="P713" i="31" s="1"/>
  <c r="O753" i="31"/>
  <c r="P753" i="31" s="1"/>
  <c r="O829" i="31"/>
  <c r="P829" i="31" s="1"/>
  <c r="O903" i="31"/>
  <c r="P903" i="31" s="1"/>
  <c r="O133" i="31"/>
  <c r="P133" i="31" s="1"/>
  <c r="O227" i="31"/>
  <c r="P227" i="31" s="1"/>
  <c r="O311" i="31"/>
  <c r="P311" i="31" s="1"/>
  <c r="O402" i="31"/>
  <c r="P402" i="31" s="1"/>
  <c r="O531" i="31"/>
  <c r="P531" i="31" s="1"/>
  <c r="O611" i="31"/>
  <c r="P611" i="31" s="1"/>
  <c r="O686" i="31"/>
  <c r="P686" i="31" s="1"/>
  <c r="O761" i="31"/>
  <c r="P761" i="31" s="1"/>
  <c r="O841" i="31"/>
  <c r="P841" i="31" s="1"/>
  <c r="O915" i="31"/>
  <c r="P915" i="31" s="1"/>
  <c r="AZ10" i="31"/>
  <c r="AR323" i="31"/>
  <c r="AR335" i="31"/>
  <c r="AR347" i="31"/>
  <c r="AR359" i="31"/>
  <c r="AR371" i="31"/>
  <c r="AR383" i="31"/>
  <c r="AR395" i="31"/>
  <c r="AR407" i="31"/>
  <c r="AR419" i="31"/>
  <c r="AR431" i="31"/>
  <c r="AR443" i="31"/>
  <c r="AR455" i="31"/>
  <c r="AR467" i="31"/>
  <c r="AR479" i="31"/>
  <c r="AR491" i="31"/>
  <c r="AR503" i="31"/>
  <c r="AR515" i="31"/>
  <c r="AR527" i="31"/>
  <c r="AR539" i="31"/>
  <c r="AR551" i="31"/>
  <c r="AR563" i="31"/>
  <c r="AR575" i="31"/>
  <c r="AR587" i="31"/>
  <c r="AR599" i="31"/>
  <c r="AR611" i="31"/>
  <c r="AR324" i="31"/>
  <c r="AR336" i="31"/>
  <c r="AR348" i="31"/>
  <c r="AR360" i="31"/>
  <c r="AR372" i="31"/>
  <c r="AR384" i="31"/>
  <c r="AR396" i="31"/>
  <c r="AR408" i="31"/>
  <c r="AR420" i="31"/>
  <c r="AR432" i="31"/>
  <c r="AR444" i="31"/>
  <c r="AR456" i="31"/>
  <c r="AR468" i="31"/>
  <c r="AR480" i="31"/>
  <c r="AR492" i="31"/>
  <c r="AR504" i="31"/>
  <c r="AR516" i="31"/>
  <c r="AR528" i="31"/>
  <c r="AR540" i="31"/>
  <c r="AR552" i="31"/>
  <c r="AR564" i="31"/>
  <c r="AR576" i="31"/>
  <c r="AR588" i="31"/>
  <c r="AR600" i="31"/>
  <c r="AR612" i="31"/>
  <c r="AR325" i="31"/>
  <c r="AR337" i="31"/>
  <c r="AR349" i="31"/>
  <c r="AR361" i="31"/>
  <c r="AR373" i="31"/>
  <c r="AR385" i="31"/>
  <c r="AR397" i="31"/>
  <c r="AR409" i="31"/>
  <c r="AR421" i="31"/>
  <c r="AR433" i="31"/>
  <c r="AR445" i="31"/>
  <c r="AR457" i="31"/>
  <c r="AR469" i="31"/>
  <c r="AR481" i="31"/>
  <c r="AR493" i="31"/>
  <c r="AR505" i="31"/>
  <c r="AR517" i="31"/>
  <c r="AR529" i="31"/>
  <c r="AR541" i="31"/>
  <c r="AR553" i="31"/>
  <c r="AR565" i="31"/>
  <c r="AR577" i="31"/>
  <c r="AR589" i="31"/>
  <c r="AR601" i="31"/>
  <c r="AR613" i="31"/>
  <c r="AR326" i="31"/>
  <c r="AR341" i="31"/>
  <c r="AR356" i="31"/>
  <c r="AR374" i="31"/>
  <c r="AR389" i="31"/>
  <c r="AR327" i="31"/>
  <c r="AR342" i="31"/>
  <c r="AR357" i="31"/>
  <c r="AR375" i="31"/>
  <c r="AR390" i="31"/>
  <c r="AR405" i="31"/>
  <c r="AR423" i="31"/>
  <c r="AR438" i="31"/>
  <c r="AR453" i="31"/>
  <c r="AR471" i="31"/>
  <c r="AR486" i="31"/>
  <c r="AR501" i="31"/>
  <c r="AR519" i="31"/>
  <c r="AR534" i="31"/>
  <c r="AR549" i="31"/>
  <c r="AR567" i="31"/>
  <c r="AR582" i="31"/>
  <c r="AR597" i="31"/>
  <c r="AR314" i="31"/>
  <c r="AR344" i="31"/>
  <c r="AR377" i="31"/>
  <c r="AR410" i="31"/>
  <c r="AR425" i="31"/>
  <c r="AR458" i="31"/>
  <c r="AR488" i="31"/>
  <c r="AR521" i="31"/>
  <c r="AR554" i="31"/>
  <c r="AR584" i="31"/>
  <c r="AR330" i="31"/>
  <c r="AR363" i="31"/>
  <c r="AR393" i="31"/>
  <c r="AR426" i="31"/>
  <c r="AR459" i="31"/>
  <c r="AR489" i="31"/>
  <c r="AR522" i="31"/>
  <c r="AR555" i="31"/>
  <c r="AR585" i="31"/>
  <c r="AR331" i="31"/>
  <c r="AR364" i="31"/>
  <c r="AR394" i="31"/>
  <c r="AR427" i="31"/>
  <c r="AR460" i="31"/>
  <c r="AR508" i="31"/>
  <c r="AR538" i="31"/>
  <c r="AR571" i="31"/>
  <c r="AR604" i="31"/>
  <c r="AR328" i="31"/>
  <c r="AR343" i="31"/>
  <c r="AR358" i="31"/>
  <c r="AR376" i="31"/>
  <c r="AR391" i="31"/>
  <c r="AR406" i="31"/>
  <c r="AR424" i="31"/>
  <c r="AR439" i="31"/>
  <c r="AR454" i="31"/>
  <c r="AR472" i="31"/>
  <c r="AR487" i="31"/>
  <c r="AR502" i="31"/>
  <c r="AR520" i="31"/>
  <c r="AR535" i="31"/>
  <c r="AR550" i="31"/>
  <c r="AR568" i="31"/>
  <c r="AR583" i="31"/>
  <c r="AR598" i="31"/>
  <c r="AR329" i="31"/>
  <c r="AR362" i="31"/>
  <c r="AR392" i="31"/>
  <c r="AR440" i="31"/>
  <c r="AR473" i="31"/>
  <c r="AR506" i="31"/>
  <c r="AR536" i="31"/>
  <c r="AR569" i="31"/>
  <c r="AR602" i="31"/>
  <c r="AR315" i="31"/>
  <c r="AR345" i="31"/>
  <c r="AR378" i="31"/>
  <c r="AR411" i="31"/>
  <c r="AR441" i="31"/>
  <c r="AR474" i="31"/>
  <c r="AR507" i="31"/>
  <c r="AR537" i="31"/>
  <c r="AR570" i="31"/>
  <c r="AR603" i="31"/>
  <c r="AR316" i="31"/>
  <c r="AR346" i="31"/>
  <c r="AR379" i="31"/>
  <c r="AR412" i="31"/>
  <c r="AR442" i="31"/>
  <c r="AR475" i="31"/>
  <c r="AR490" i="31"/>
  <c r="AR523" i="31"/>
  <c r="AR556" i="31"/>
  <c r="AR586" i="31"/>
  <c r="AR320" i="31"/>
  <c r="AR353" i="31"/>
  <c r="AR386" i="31"/>
  <c r="AR415" i="31"/>
  <c r="AR446" i="31"/>
  <c r="AR466" i="31"/>
  <c r="AR497" i="31"/>
  <c r="AR525" i="31"/>
  <c r="AR548" i="31"/>
  <c r="AR579" i="31"/>
  <c r="AR607" i="31"/>
  <c r="AR317" i="31"/>
  <c r="AR463" i="31"/>
  <c r="AR573" i="31"/>
  <c r="AR321" i="31"/>
  <c r="AR354" i="31"/>
  <c r="AR387" i="31"/>
  <c r="AR416" i="31"/>
  <c r="AR447" i="31"/>
  <c r="AR470" i="31"/>
  <c r="AR498" i="31"/>
  <c r="AR526" i="31"/>
  <c r="AR557" i="31"/>
  <c r="AR580" i="31"/>
  <c r="AR608" i="31"/>
  <c r="AR332" i="31"/>
  <c r="AR398" i="31"/>
  <c r="AR449" i="31"/>
  <c r="AR500" i="31"/>
  <c r="AR559" i="31"/>
  <c r="AR610" i="31"/>
  <c r="AR333" i="31"/>
  <c r="AR422" i="31"/>
  <c r="AR478" i="31"/>
  <c r="AR532" i="31"/>
  <c r="AR591" i="31"/>
  <c r="AR367" i="31"/>
  <c r="AR451" i="31"/>
  <c r="AR510" i="31"/>
  <c r="AR561" i="31"/>
  <c r="AR368" i="31"/>
  <c r="AR429" i="31"/>
  <c r="AR483" i="31"/>
  <c r="AR542" i="31"/>
  <c r="AR593" i="31"/>
  <c r="AR369" i="31"/>
  <c r="AR430" i="31"/>
  <c r="AR484" i="31"/>
  <c r="AR543" i="31"/>
  <c r="AR594" i="31"/>
  <c r="AR370" i="31"/>
  <c r="AR434" i="31"/>
  <c r="AR485" i="31"/>
  <c r="AR544" i="31"/>
  <c r="AR595" i="31"/>
  <c r="AR380" i="31"/>
  <c r="AR435" i="31"/>
  <c r="AR514" i="31"/>
  <c r="AR545" i="31"/>
  <c r="AR322" i="31"/>
  <c r="AR355" i="31"/>
  <c r="AR388" i="31"/>
  <c r="AR417" i="31"/>
  <c r="AR448" i="31"/>
  <c r="AR476" i="31"/>
  <c r="AR499" i="31"/>
  <c r="AR530" i="31"/>
  <c r="AR558" i="31"/>
  <c r="AR581" i="31"/>
  <c r="AR609" i="31"/>
  <c r="AR365" i="31"/>
  <c r="AR418" i="31"/>
  <c r="AR477" i="31"/>
  <c r="AR531" i="31"/>
  <c r="AR590" i="31"/>
  <c r="AR366" i="31"/>
  <c r="AR399" i="31"/>
  <c r="AR450" i="31"/>
  <c r="AR509" i="31"/>
  <c r="AR560" i="31"/>
  <c r="AR334" i="31"/>
  <c r="AR400" i="31"/>
  <c r="AR428" i="31"/>
  <c r="AR482" i="31"/>
  <c r="AR533" i="31"/>
  <c r="AR592" i="31"/>
  <c r="AR338" i="31"/>
  <c r="AR401" i="31"/>
  <c r="AR452" i="31"/>
  <c r="AR511" i="31"/>
  <c r="AR562" i="31"/>
  <c r="AR339" i="31"/>
  <c r="AR402" i="31"/>
  <c r="AR461" i="31"/>
  <c r="AR512" i="31"/>
  <c r="AR566" i="31"/>
  <c r="AR340" i="31"/>
  <c r="AR403" i="31"/>
  <c r="AR462" i="31"/>
  <c r="AR513" i="31"/>
  <c r="AR572" i="31"/>
  <c r="AR350" i="31"/>
  <c r="AR404" i="31"/>
  <c r="AR494" i="31"/>
  <c r="AR596" i="31"/>
  <c r="AR318" i="31"/>
  <c r="AR495" i="31"/>
  <c r="AR319" i="31"/>
  <c r="AR496" i="31"/>
  <c r="AR351" i="31"/>
  <c r="AR518" i="31"/>
  <c r="AR352" i="31"/>
  <c r="AR524" i="31"/>
  <c r="AR381" i="31"/>
  <c r="AR546" i="31"/>
  <c r="AR382" i="31"/>
  <c r="AR547" i="31"/>
  <c r="AR413" i="31"/>
  <c r="AR574" i="31"/>
  <c r="AR414" i="31"/>
  <c r="AR578" i="31"/>
  <c r="AR436" i="31"/>
  <c r="AR605" i="31"/>
  <c r="AR437" i="31"/>
  <c r="AR606" i="31"/>
  <c r="AR464" i="31"/>
  <c r="AR465" i="31"/>
  <c r="X2" i="31" l="1"/>
  <c r="X19" i="31"/>
  <c r="E31" i="31" s="1"/>
  <c r="P21" i="31"/>
  <c r="C27" i="31"/>
  <c r="C34" i="31"/>
  <c r="P31" i="31"/>
  <c r="P29" i="31"/>
  <c r="AC18" i="31"/>
  <c r="D34" i="31" s="1"/>
  <c r="AB21" i="31"/>
  <c r="AB19" i="31" s="1"/>
  <c r="E34" i="31" s="1"/>
  <c r="O19" i="31"/>
  <c r="D27" i="31" s="1"/>
  <c r="AZ7" i="31"/>
  <c r="AZ8" i="31"/>
  <c r="BA8" i="31" s="1"/>
  <c r="AC19" i="31" l="1"/>
  <c r="F34" i="31" s="1"/>
  <c r="P19" i="31"/>
  <c r="BA7" i="31"/>
  <c r="P18" i="31" l="1"/>
  <c r="F27" i="31" s="1"/>
  <c r="E27" i="31"/>
  <c r="AB20" i="31"/>
  <c r="AR203" i="31"/>
  <c r="AR132" i="31"/>
  <c r="AR276" i="31"/>
  <c r="AR121" i="31"/>
  <c r="AR265" i="31"/>
  <c r="AR116" i="31"/>
  <c r="AR308" i="31"/>
  <c r="AR183" i="31"/>
  <c r="AR199" i="31"/>
  <c r="AR257" i="31"/>
  <c r="AR208" i="31"/>
  <c r="AR307" i="31"/>
  <c r="AR79" i="31"/>
  <c r="AR272" i="31"/>
  <c r="AR127" i="31"/>
  <c r="AR189" i="31"/>
  <c r="AR223" i="31"/>
  <c r="AR94" i="31"/>
  <c r="AR217" i="31"/>
  <c r="AR117" i="31"/>
  <c r="AR268" i="31"/>
  <c r="AR136" i="31"/>
  <c r="AR233" i="31"/>
  <c r="AR236" i="31"/>
  <c r="AR147" i="31"/>
  <c r="AR311" i="31"/>
  <c r="AR240" i="31"/>
  <c r="AR85" i="31"/>
  <c r="AR260" i="31"/>
  <c r="AR248" i="31"/>
  <c r="AR267" i="31"/>
  <c r="AR298" i="31"/>
  <c r="AR215" i="31"/>
  <c r="AR144" i="31"/>
  <c r="AR288" i="31"/>
  <c r="AR133" i="31"/>
  <c r="AR277" i="31"/>
  <c r="AR134" i="31"/>
  <c r="AR198" i="31"/>
  <c r="AR214" i="31"/>
  <c r="AR290" i="31"/>
  <c r="AR99" i="31"/>
  <c r="AR238" i="31"/>
  <c r="AR81" i="31"/>
  <c r="AR175" i="31"/>
  <c r="AR286" i="31"/>
  <c r="AR251" i="31"/>
  <c r="AR180" i="31"/>
  <c r="AR313" i="31"/>
  <c r="AR246" i="31"/>
  <c r="AR105" i="31"/>
  <c r="AR124" i="31"/>
  <c r="AR122" i="31"/>
  <c r="AR195" i="31"/>
  <c r="AR92" i="31"/>
  <c r="AR263" i="31"/>
  <c r="AR192" i="31"/>
  <c r="AR181" i="31"/>
  <c r="AR197" i="31"/>
  <c r="AR261" i="31"/>
  <c r="AR138" i="31"/>
  <c r="AR154" i="31"/>
  <c r="AR88" i="31"/>
  <c r="AR152" i="31"/>
  <c r="AR172" i="31"/>
  <c r="AR158" i="31"/>
  <c r="AR225" i="31"/>
  <c r="AR284" i="31"/>
  <c r="AR207" i="31"/>
  <c r="AR275" i="31"/>
  <c r="AR204" i="31"/>
  <c r="AR193" i="31"/>
  <c r="AR212" i="31"/>
  <c r="AR279" i="31"/>
  <c r="AR171" i="31"/>
  <c r="AR295" i="31"/>
  <c r="AR186" i="31"/>
  <c r="AR110" i="31"/>
  <c r="AR77" i="31"/>
  <c r="AR270" i="31"/>
  <c r="AR143" i="31"/>
  <c r="AR205" i="31"/>
  <c r="AR102" i="31"/>
  <c r="AR235" i="31"/>
  <c r="AR118" i="31"/>
  <c r="AR218" i="31"/>
  <c r="AR219" i="31"/>
  <c r="AR220" i="31"/>
  <c r="AR221" i="31"/>
  <c r="AR291" i="31"/>
  <c r="AR226" i="31"/>
  <c r="AR173" i="31"/>
  <c r="AR303" i="31"/>
  <c r="AR114" i="31"/>
  <c r="AR299" i="31"/>
  <c r="AR84" i="31"/>
  <c r="AR228" i="31"/>
  <c r="AR245" i="31"/>
  <c r="AR309" i="31"/>
  <c r="AR200" i="31"/>
  <c r="AR234" i="31"/>
  <c r="AR249" i="31"/>
  <c r="AR250" i="31"/>
  <c r="AR128" i="31"/>
  <c r="AR206" i="31"/>
  <c r="AR242" i="31"/>
  <c r="AR148" i="31"/>
  <c r="AR259" i="31"/>
  <c r="AR125" i="31"/>
  <c r="AR159" i="31"/>
  <c r="AR190" i="31"/>
  <c r="AR255" i="31"/>
  <c r="AR96" i="31"/>
  <c r="AR229" i="31"/>
  <c r="AR135" i="31"/>
  <c r="AR83" i="31"/>
  <c r="AR227" i="31"/>
  <c r="AR156" i="31"/>
  <c r="AR300" i="31"/>
  <c r="AR145" i="31"/>
  <c r="AR289" i="31"/>
  <c r="AR149" i="31"/>
  <c r="AR213" i="31"/>
  <c r="AR232" i="31"/>
  <c r="AR91" i="31"/>
  <c r="AR115" i="31"/>
  <c r="AR129" i="31"/>
  <c r="AR78" i="31"/>
  <c r="AR304" i="31"/>
  <c r="AR177" i="31"/>
  <c r="AR271" i="31"/>
  <c r="AR82" i="31"/>
  <c r="AR95" i="31"/>
  <c r="AR239" i="31"/>
  <c r="AR168" i="31"/>
  <c r="AR312" i="31"/>
  <c r="AR157" i="31"/>
  <c r="AR301" i="31"/>
  <c r="AR164" i="31"/>
  <c r="AR231" i="31"/>
  <c r="AR90" i="31"/>
  <c r="AR76" i="31"/>
  <c r="AR247" i="31"/>
  <c r="AR74" i="31"/>
  <c r="AR75" i="31"/>
  <c r="AR106" i="31"/>
  <c r="AR162" i="31"/>
  <c r="AR174" i="31"/>
  <c r="AR243" i="31"/>
  <c r="AR100" i="31"/>
  <c r="AR111" i="31"/>
  <c r="AR244" i="31"/>
  <c r="AR256" i="31"/>
  <c r="AR107" i="31"/>
  <c r="AR169" i="31"/>
  <c r="AR182" i="31"/>
  <c r="AR89" i="31"/>
  <c r="AR262" i="31"/>
  <c r="AR123" i="31"/>
  <c r="AR139" i="31"/>
  <c r="AR237" i="31"/>
  <c r="AR306" i="31"/>
  <c r="AR130" i="31"/>
  <c r="AR141" i="31"/>
  <c r="AR126" i="31"/>
  <c r="AR160" i="31"/>
  <c r="AR222" i="31"/>
  <c r="AR119" i="31"/>
  <c r="AR104" i="31"/>
  <c r="AR280" i="31"/>
  <c r="AR153" i="31"/>
  <c r="AR163" i="31"/>
  <c r="AR131" i="31"/>
  <c r="AR87" i="31"/>
  <c r="AR137" i="31"/>
  <c r="AR187" i="31"/>
  <c r="AR103" i="31"/>
  <c r="AR185" i="31"/>
  <c r="AR202" i="31"/>
  <c r="AR188" i="31"/>
  <c r="AR258" i="31"/>
  <c r="AR80" i="31"/>
  <c r="AR196" i="31"/>
  <c r="AR287" i="31"/>
  <c r="AR216" i="31"/>
  <c r="AR230" i="31"/>
  <c r="AR294" i="31"/>
  <c r="AR170" i="31"/>
  <c r="AR201" i="31"/>
  <c r="AR310" i="31"/>
  <c r="AR98" i="31"/>
  <c r="AR140" i="31"/>
  <c r="AR176" i="31"/>
  <c r="AR155" i="31"/>
  <c r="AR167" i="31"/>
  <c r="AR179" i="31"/>
  <c r="AR191" i="31"/>
  <c r="AR120" i="31"/>
  <c r="AR97" i="31"/>
  <c r="AR253" i="31"/>
  <c r="AR278" i="31"/>
  <c r="AR166" i="31"/>
  <c r="AR252" i="31"/>
  <c r="AR109" i="31"/>
  <c r="AR86" i="31"/>
  <c r="AR266" i="31"/>
  <c r="AR146" i="31"/>
  <c r="AR184" i="31"/>
  <c r="AR210" i="31"/>
  <c r="AR281" i="31"/>
  <c r="AR297" i="31"/>
  <c r="AR254" i="31"/>
  <c r="AR93" i="31"/>
  <c r="AR108" i="31"/>
  <c r="AR264" i="31"/>
  <c r="AR241" i="31"/>
  <c r="AR101" i="31"/>
  <c r="AR151" i="31"/>
  <c r="AR296" i="31"/>
  <c r="AR282" i="31"/>
  <c r="AR161" i="31"/>
  <c r="AR112" i="31"/>
  <c r="AR113" i="31"/>
  <c r="AR194" i="31"/>
  <c r="AR142" i="31"/>
  <c r="AR305" i="31"/>
  <c r="AR293" i="31"/>
  <c r="AR283" i="31"/>
  <c r="AR224" i="31"/>
  <c r="AR292" i="31"/>
  <c r="AR209" i="31"/>
  <c r="AR178" i="31"/>
  <c r="AR211" i="31"/>
  <c r="AR273" i="31"/>
  <c r="AR274" i="31"/>
  <c r="AR269" i="31"/>
  <c r="AR302" i="31"/>
  <c r="AR150" i="31"/>
  <c r="AR285" i="31"/>
  <c r="AR165" i="31"/>
  <c r="AS13" i="31"/>
  <c r="AS14" i="31" s="1"/>
  <c r="AS15" i="31" s="1"/>
  <c r="AV17" i="31" s="1"/>
  <c r="AS18" i="31" s="1"/>
  <c r="AS19" i="31" s="1"/>
  <c r="AS20" i="31" s="1"/>
  <c r="AS21" i="31" s="1"/>
  <c r="AS22" i="31" s="1"/>
  <c r="AS23" i="31" s="1"/>
  <c r="AS24" i="31" s="1"/>
  <c r="AS25" i="31" s="1"/>
  <c r="AS26" i="31" s="1"/>
  <c r="AS27" i="31" s="1"/>
  <c r="AS28" i="31" s="1"/>
  <c r="AS29" i="31" s="1"/>
  <c r="AS30" i="31" s="1"/>
  <c r="AS31" i="31" s="1"/>
  <c r="AS32" i="31" s="1"/>
  <c r="AS33" i="31" s="1"/>
  <c r="AS34" i="31" s="1"/>
  <c r="AS35" i="31" s="1"/>
  <c r="AS36" i="31" s="1"/>
  <c r="AS37" i="31" s="1"/>
  <c r="AS38" i="31" s="1"/>
  <c r="AS39" i="31" s="1"/>
  <c r="AS40" i="31" s="1"/>
  <c r="AS41" i="31" s="1"/>
  <c r="AS42" i="31" s="1"/>
  <c r="AS43" i="31" s="1"/>
  <c r="AS44" i="31" s="1"/>
  <c r="AS45" i="31" s="1"/>
  <c r="AS46" i="31" s="1"/>
  <c r="AS47" i="31" s="1"/>
  <c r="AS48" i="31" s="1"/>
  <c r="AS49" i="31" s="1"/>
  <c r="AS50" i="31" s="1"/>
  <c r="AS51" i="31" s="1"/>
  <c r="AS52" i="31" s="1"/>
  <c r="AS53" i="31" s="1"/>
  <c r="AS54" i="31" s="1"/>
  <c r="AS55" i="31" s="1"/>
  <c r="AS56" i="31" s="1"/>
  <c r="AS57" i="31" s="1"/>
  <c r="AS58" i="31" s="1"/>
  <c r="AS59" i="31" s="1"/>
  <c r="AS60" i="31" s="1"/>
  <c r="AS61" i="31" s="1"/>
  <c r="AS62" i="31" s="1"/>
  <c r="AS63" i="31" s="1"/>
  <c r="AS64" i="31" s="1"/>
  <c r="AS65" i="31" s="1"/>
  <c r="AS66" i="31" s="1"/>
  <c r="AS67" i="31" s="1"/>
  <c r="AS68" i="31" s="1"/>
  <c r="AS69" i="31" s="1"/>
  <c r="AS70" i="31" s="1"/>
  <c r="AS71" i="31" s="1"/>
  <c r="AS72" i="31" s="1"/>
  <c r="AS73" i="31" s="1"/>
  <c r="AS74" i="31" s="1"/>
  <c r="AS75" i="31" s="1"/>
  <c r="AS76" i="31" s="1"/>
  <c r="AS77" i="31" s="1"/>
  <c r="AS78" i="31" s="1"/>
  <c r="AS79" i="31" s="1"/>
  <c r="AS80" i="31" s="1"/>
  <c r="AS81" i="31" s="1"/>
  <c r="AS82" i="31" s="1"/>
  <c r="AS83" i="31" s="1"/>
  <c r="AS84" i="31" s="1"/>
  <c r="AS85" i="31" s="1"/>
  <c r="AS86" i="31" s="1"/>
  <c r="AS87" i="31" s="1"/>
  <c r="AS88" i="31" s="1"/>
  <c r="AS89" i="31" s="1"/>
  <c r="AS90" i="31" s="1"/>
  <c r="AS91" i="31" s="1"/>
  <c r="AS92" i="31" s="1"/>
  <c r="AS93" i="31" s="1"/>
  <c r="AS94" i="31" s="1"/>
  <c r="AS95" i="31" s="1"/>
  <c r="AS96" i="31" s="1"/>
  <c r="AS97" i="31" s="1"/>
  <c r="AS98" i="31" s="1"/>
  <c r="AS99" i="31" s="1"/>
  <c r="AS100" i="31" s="1"/>
  <c r="AS101" i="31" s="1"/>
  <c r="AS102" i="31" s="1"/>
  <c r="AS103" i="31" s="1"/>
  <c r="AS104" i="31" s="1"/>
  <c r="AS105" i="31" s="1"/>
  <c r="AS106" i="31" s="1"/>
  <c r="AS107" i="31" s="1"/>
  <c r="AS108" i="31" s="1"/>
  <c r="AS109" i="31" s="1"/>
  <c r="AS110" i="31" s="1"/>
  <c r="AS111" i="31" s="1"/>
  <c r="AS112" i="31" s="1"/>
  <c r="AS113" i="31" s="1"/>
  <c r="AS114" i="31" s="1"/>
  <c r="AS115" i="31" s="1"/>
  <c r="AS116" i="31" s="1"/>
  <c r="AS117" i="31" s="1"/>
  <c r="AS118" i="31" s="1"/>
  <c r="AS119" i="31" s="1"/>
  <c r="AS120" i="31" s="1"/>
  <c r="AS121" i="31" s="1"/>
  <c r="AS122" i="31" s="1"/>
  <c r="AS123" i="31" s="1"/>
  <c r="AS124" i="31" s="1"/>
  <c r="AS125" i="31" s="1"/>
  <c r="AS126" i="31" s="1"/>
  <c r="AS127" i="31" s="1"/>
  <c r="AS128" i="31" s="1"/>
  <c r="AS129" i="31" s="1"/>
  <c r="AS130" i="31" s="1"/>
  <c r="AS131" i="31" s="1"/>
  <c r="AS132" i="31" s="1"/>
  <c r="AS133" i="31" s="1"/>
  <c r="AS134" i="31" s="1"/>
  <c r="AS135" i="31" s="1"/>
  <c r="AS136" i="31" s="1"/>
  <c r="AS137" i="31" s="1"/>
  <c r="AS138" i="31" s="1"/>
  <c r="AS139" i="31" s="1"/>
  <c r="AS140" i="31" s="1"/>
  <c r="AS141" i="31" s="1"/>
  <c r="AS142" i="31" s="1"/>
  <c r="AS143" i="31" s="1"/>
  <c r="AS144" i="31" s="1"/>
  <c r="AS145" i="31" s="1"/>
  <c r="AS146" i="31" s="1"/>
  <c r="AS147" i="31" s="1"/>
  <c r="AS148" i="31" s="1"/>
  <c r="AS149" i="31" s="1"/>
  <c r="AS150" i="31" s="1"/>
  <c r="AS151" i="31" s="1"/>
  <c r="AS152" i="31" s="1"/>
  <c r="AS153" i="31" s="1"/>
  <c r="AS154" i="31" s="1"/>
  <c r="AS155" i="31" s="1"/>
  <c r="AS156" i="31" s="1"/>
  <c r="AS157" i="31" s="1"/>
  <c r="AS158" i="31" s="1"/>
  <c r="AS159" i="31" s="1"/>
  <c r="AS160" i="31" s="1"/>
  <c r="AS161" i="31" s="1"/>
  <c r="AS162" i="31" s="1"/>
  <c r="AS163" i="31" s="1"/>
  <c r="AS164" i="31" s="1"/>
  <c r="AS165" i="31" s="1"/>
  <c r="AS166" i="31" s="1"/>
  <c r="AS167" i="31" s="1"/>
  <c r="AS168" i="31" s="1"/>
  <c r="AS169" i="31" s="1"/>
  <c r="AS170" i="31" s="1"/>
  <c r="AS171" i="31" s="1"/>
  <c r="AS172" i="31" s="1"/>
  <c r="AS173" i="31" s="1"/>
  <c r="AS174" i="31" s="1"/>
  <c r="AS175" i="31" s="1"/>
  <c r="AS176" i="31" s="1"/>
  <c r="AS177" i="31" s="1"/>
  <c r="AS178" i="31" s="1"/>
  <c r="AS179" i="31" s="1"/>
  <c r="AS180" i="31" s="1"/>
  <c r="AS181" i="31" s="1"/>
  <c r="AS182" i="31" s="1"/>
  <c r="AS183" i="31" s="1"/>
  <c r="AS184" i="31" s="1"/>
  <c r="AS185" i="31" s="1"/>
  <c r="AS186" i="31" s="1"/>
  <c r="AS187" i="31" s="1"/>
  <c r="AS188" i="31" s="1"/>
  <c r="AS189" i="31" s="1"/>
  <c r="AS190" i="31" s="1"/>
  <c r="AS191" i="31" s="1"/>
  <c r="AS192" i="31" s="1"/>
  <c r="AS193" i="31" s="1"/>
  <c r="AS194" i="31" s="1"/>
  <c r="AS195" i="31" s="1"/>
  <c r="AS196" i="31" s="1"/>
  <c r="AS197" i="31" s="1"/>
  <c r="AS198" i="31" s="1"/>
  <c r="AS199" i="31" s="1"/>
  <c r="AS200" i="31" s="1"/>
  <c r="AS201" i="31" s="1"/>
  <c r="AS202" i="31" s="1"/>
  <c r="AS203" i="31" s="1"/>
  <c r="AS204" i="31" s="1"/>
  <c r="AS205" i="31" s="1"/>
  <c r="AS206" i="31" s="1"/>
  <c r="AS207" i="31" s="1"/>
  <c r="AS208" i="31" s="1"/>
  <c r="AS209" i="31" s="1"/>
  <c r="AS210" i="31" s="1"/>
  <c r="AS211" i="31" s="1"/>
  <c r="AS212" i="31" s="1"/>
  <c r="AS213" i="31" s="1"/>
  <c r="AS214" i="31" s="1"/>
  <c r="AS215" i="31" s="1"/>
  <c r="AS216" i="31" s="1"/>
  <c r="AS217" i="31" s="1"/>
  <c r="AS218" i="31" s="1"/>
  <c r="AS219" i="31" s="1"/>
  <c r="AS220" i="31" s="1"/>
  <c r="AS221" i="31" s="1"/>
  <c r="AS222" i="31" s="1"/>
  <c r="AS223" i="31" s="1"/>
  <c r="AS224" i="31" s="1"/>
  <c r="AS225" i="31" s="1"/>
  <c r="AS226" i="31" s="1"/>
  <c r="AS227" i="31" s="1"/>
  <c r="AS228" i="31" s="1"/>
  <c r="AS229" i="31" s="1"/>
  <c r="AS230" i="31" s="1"/>
  <c r="AS231" i="31" s="1"/>
  <c r="AS232" i="31" s="1"/>
  <c r="AS233" i="31" s="1"/>
  <c r="AS234" i="31" s="1"/>
  <c r="AS235" i="31" s="1"/>
  <c r="AS236" i="31" s="1"/>
  <c r="AS237" i="31" s="1"/>
  <c r="AS238" i="31" s="1"/>
  <c r="AS239" i="31" s="1"/>
  <c r="AS240" i="31" s="1"/>
  <c r="AS241" i="31" s="1"/>
  <c r="AS242" i="31" s="1"/>
  <c r="AS243" i="31" s="1"/>
  <c r="AS244" i="31" s="1"/>
  <c r="AS245" i="31" s="1"/>
  <c r="AS246" i="31" s="1"/>
  <c r="AS247" i="31" s="1"/>
  <c r="AS248" i="31" s="1"/>
  <c r="AS249" i="31" s="1"/>
  <c r="AS250" i="31" s="1"/>
  <c r="AS251" i="31" s="1"/>
  <c r="AS252" i="31" s="1"/>
  <c r="AS253" i="31" s="1"/>
  <c r="AS254" i="31" s="1"/>
  <c r="AS255" i="31" s="1"/>
  <c r="AS256" i="31" s="1"/>
  <c r="AS257" i="31" s="1"/>
  <c r="AS258" i="31" s="1"/>
  <c r="AS259" i="31" s="1"/>
  <c r="AS260" i="31" s="1"/>
  <c r="AS261" i="31" s="1"/>
  <c r="AS262" i="31" s="1"/>
  <c r="AS263" i="31" s="1"/>
  <c r="AS264" i="31" s="1"/>
  <c r="AS265" i="31" s="1"/>
  <c r="AS266" i="31" s="1"/>
  <c r="AS267" i="31" s="1"/>
  <c r="AS268" i="31" s="1"/>
  <c r="AS269" i="31" s="1"/>
  <c r="AS270" i="31" s="1"/>
  <c r="AS271" i="31" s="1"/>
  <c r="AS272" i="31" s="1"/>
  <c r="AS273" i="31" s="1"/>
  <c r="AS274" i="31" s="1"/>
  <c r="AS275" i="31" s="1"/>
  <c r="AS276" i="31" s="1"/>
  <c r="AS277" i="31" s="1"/>
  <c r="AS278" i="31" s="1"/>
  <c r="AS279" i="31" s="1"/>
  <c r="AS280" i="31" s="1"/>
  <c r="AS281" i="31" s="1"/>
  <c r="AS282" i="31" s="1"/>
  <c r="AS283" i="31" s="1"/>
  <c r="AS284" i="31" s="1"/>
  <c r="AS285" i="31" s="1"/>
  <c r="AS286" i="31" s="1"/>
  <c r="AS287" i="31" s="1"/>
  <c r="AS288" i="31" s="1"/>
  <c r="AS289" i="31" s="1"/>
  <c r="AS290" i="31" s="1"/>
  <c r="AS291" i="31" s="1"/>
  <c r="AS292" i="31" s="1"/>
  <c r="AS293" i="31" s="1"/>
  <c r="AS294" i="31" s="1"/>
  <c r="AS295" i="31" s="1"/>
  <c r="AS296" i="31" s="1"/>
  <c r="AS297" i="31" s="1"/>
  <c r="AS298" i="31" s="1"/>
  <c r="AS299" i="31" s="1"/>
  <c r="AS300" i="31" s="1"/>
  <c r="AS301" i="31" s="1"/>
  <c r="AS302" i="31" s="1"/>
  <c r="AS303" i="31" s="1"/>
  <c r="AS304" i="31" s="1"/>
  <c r="AS305" i="31" s="1"/>
  <c r="AS306" i="31" s="1"/>
  <c r="AS307" i="31" s="1"/>
  <c r="AS308" i="31" s="1"/>
  <c r="AS309" i="31" s="1"/>
  <c r="AS310" i="31" s="1"/>
  <c r="AS311" i="31" s="1"/>
  <c r="AS312" i="31" s="1"/>
  <c r="AS313" i="31" s="1"/>
  <c r="AS314" i="31" s="1"/>
  <c r="AS315" i="31" s="1"/>
  <c r="AS316" i="31" s="1"/>
  <c r="AS317" i="31" s="1"/>
  <c r="AS318" i="31" s="1"/>
  <c r="AS319" i="31" s="1"/>
  <c r="AS320" i="31" s="1"/>
  <c r="AS321" i="31" s="1"/>
  <c r="AS322" i="31" s="1"/>
  <c r="AS323" i="31" s="1"/>
  <c r="AS324" i="31" s="1"/>
  <c r="AS325" i="31" s="1"/>
  <c r="AS326" i="31" s="1"/>
  <c r="AS327" i="31" s="1"/>
  <c r="AS328" i="31" s="1"/>
  <c r="AS329" i="31" s="1"/>
  <c r="AS330" i="31" s="1"/>
  <c r="AS331" i="31" s="1"/>
  <c r="AS332" i="31" s="1"/>
  <c r="AS333" i="31" s="1"/>
  <c r="AS334" i="31" s="1"/>
  <c r="AS335" i="31" s="1"/>
  <c r="AS336" i="31" s="1"/>
  <c r="AS337" i="31" s="1"/>
  <c r="AS338" i="31" s="1"/>
  <c r="AS339" i="31" s="1"/>
  <c r="AS340" i="31" s="1"/>
  <c r="AS341" i="31" s="1"/>
  <c r="AS342" i="31" s="1"/>
  <c r="AS343" i="31" s="1"/>
  <c r="AS344" i="31" s="1"/>
  <c r="AS345" i="31" s="1"/>
  <c r="AS346" i="31" s="1"/>
  <c r="AS347" i="31" s="1"/>
  <c r="AS348" i="31" s="1"/>
  <c r="AS349" i="31" s="1"/>
  <c r="AS350" i="31" s="1"/>
  <c r="AS351" i="31" s="1"/>
  <c r="AS352" i="31" s="1"/>
  <c r="AS353" i="31" s="1"/>
  <c r="AS354" i="31" s="1"/>
  <c r="AS355" i="31" s="1"/>
  <c r="AS356" i="31" s="1"/>
  <c r="AS357" i="31" s="1"/>
  <c r="AS358" i="31" s="1"/>
  <c r="AS359" i="31" s="1"/>
  <c r="AS360" i="31" s="1"/>
  <c r="AS361" i="31" s="1"/>
  <c r="AS362" i="31" s="1"/>
  <c r="AS363" i="31" s="1"/>
  <c r="AS364" i="31" s="1"/>
  <c r="AS365" i="31" s="1"/>
  <c r="AS366" i="31" s="1"/>
  <c r="AS367" i="31" s="1"/>
  <c r="AS368" i="31" s="1"/>
  <c r="AS369" i="31" s="1"/>
  <c r="AS370" i="31" s="1"/>
  <c r="AS371" i="31" s="1"/>
  <c r="AS372" i="31" s="1"/>
  <c r="AS373" i="31" s="1"/>
  <c r="AS374" i="31" s="1"/>
  <c r="AS375" i="31" s="1"/>
  <c r="AS376" i="31" s="1"/>
  <c r="AS377" i="31" s="1"/>
  <c r="AS378" i="31" s="1"/>
  <c r="AS379" i="31" s="1"/>
  <c r="AS380" i="31" s="1"/>
  <c r="AS381" i="31" s="1"/>
  <c r="AS382" i="31" s="1"/>
  <c r="AS383" i="31" s="1"/>
  <c r="AS384" i="31" s="1"/>
  <c r="AS385" i="31" s="1"/>
  <c r="AS386" i="31" s="1"/>
  <c r="AS387" i="31" s="1"/>
  <c r="AS388" i="31" s="1"/>
  <c r="AS389" i="31" s="1"/>
  <c r="AS390" i="31" s="1"/>
  <c r="AS391" i="31" s="1"/>
  <c r="AS392" i="31" s="1"/>
  <c r="AS393" i="31" s="1"/>
  <c r="AS394" i="31" s="1"/>
  <c r="AS395" i="31" s="1"/>
  <c r="AS396" i="31" s="1"/>
  <c r="AS397" i="31" s="1"/>
  <c r="AS398" i="31" s="1"/>
  <c r="AS399" i="31" s="1"/>
  <c r="AS400" i="31" s="1"/>
  <c r="AS401" i="31" s="1"/>
  <c r="AS402" i="31" s="1"/>
  <c r="AS403" i="31" s="1"/>
  <c r="AS404" i="31" s="1"/>
  <c r="AS405" i="31" s="1"/>
  <c r="AS406" i="31" s="1"/>
  <c r="AS407" i="31" s="1"/>
  <c r="AS408" i="31" s="1"/>
  <c r="AS409" i="31" s="1"/>
  <c r="AS410" i="31" s="1"/>
  <c r="AS411" i="31" s="1"/>
  <c r="AS412" i="31" s="1"/>
  <c r="AS413" i="31" s="1"/>
  <c r="AS414" i="31" s="1"/>
  <c r="AS415" i="31" s="1"/>
  <c r="AS416" i="31" s="1"/>
  <c r="AS417" i="31" s="1"/>
  <c r="AS418" i="31" s="1"/>
  <c r="AS419" i="31" s="1"/>
  <c r="AS420" i="31" s="1"/>
  <c r="AS421" i="31" s="1"/>
  <c r="AS422" i="31" s="1"/>
  <c r="AS423" i="31" s="1"/>
  <c r="AS424" i="31" s="1"/>
  <c r="AS425" i="31" s="1"/>
  <c r="AS426" i="31" s="1"/>
  <c r="AS427" i="31" s="1"/>
  <c r="AS428" i="31" s="1"/>
  <c r="AS429" i="31" s="1"/>
  <c r="AS430" i="31" s="1"/>
  <c r="AS431" i="31" s="1"/>
  <c r="AS432" i="31" s="1"/>
  <c r="AS433" i="31" s="1"/>
  <c r="AS434" i="31" s="1"/>
  <c r="AS435" i="31" s="1"/>
  <c r="AS436" i="31" s="1"/>
  <c r="AS437" i="31" s="1"/>
  <c r="AS438" i="31" s="1"/>
  <c r="AS439" i="31" s="1"/>
  <c r="AS440" i="31" s="1"/>
  <c r="AS441" i="31" s="1"/>
  <c r="AS442" i="31" s="1"/>
  <c r="AS443" i="31" s="1"/>
  <c r="AS444" i="31" s="1"/>
  <c r="AS445" i="31" s="1"/>
  <c r="AS446" i="31" s="1"/>
  <c r="AS447" i="31" s="1"/>
  <c r="AS448" i="31" s="1"/>
  <c r="AS449" i="31" s="1"/>
  <c r="AS450" i="31" s="1"/>
  <c r="AS451" i="31" s="1"/>
  <c r="AS452" i="31" s="1"/>
  <c r="AS453" i="31" s="1"/>
  <c r="AS454" i="31" s="1"/>
  <c r="AS455" i="31" s="1"/>
  <c r="AS456" i="31" s="1"/>
  <c r="AS457" i="31" s="1"/>
  <c r="AS458" i="31" s="1"/>
  <c r="AS459" i="31" s="1"/>
  <c r="AS460" i="31" s="1"/>
  <c r="AS461" i="31" s="1"/>
  <c r="AS462" i="31" s="1"/>
  <c r="AS463" i="31" s="1"/>
  <c r="AS464" i="31" s="1"/>
  <c r="AS465" i="31" s="1"/>
  <c r="AS466" i="31" s="1"/>
  <c r="AS467" i="31" s="1"/>
  <c r="AS468" i="31" s="1"/>
  <c r="AS469" i="31" s="1"/>
  <c r="AS470" i="31" s="1"/>
  <c r="AS471" i="31" s="1"/>
  <c r="AS472" i="31" s="1"/>
  <c r="AS473" i="31" s="1"/>
  <c r="AS474" i="31" s="1"/>
  <c r="AS475" i="31" s="1"/>
  <c r="AS476" i="31" s="1"/>
  <c r="AS477" i="31" s="1"/>
  <c r="AS478" i="31" s="1"/>
  <c r="AS479" i="31" s="1"/>
  <c r="AS480" i="31" s="1"/>
  <c r="AS481" i="31" s="1"/>
  <c r="AS482" i="31" s="1"/>
  <c r="AS483" i="31" s="1"/>
  <c r="AS484" i="31" s="1"/>
  <c r="AS485" i="31" s="1"/>
  <c r="AS486" i="31" s="1"/>
  <c r="AS487" i="31" s="1"/>
  <c r="AS488" i="31" s="1"/>
  <c r="AS489" i="31" s="1"/>
  <c r="AS490" i="31" s="1"/>
  <c r="AS491" i="31" s="1"/>
  <c r="AS492" i="31" s="1"/>
  <c r="AS493" i="31" s="1"/>
  <c r="AS494" i="31" s="1"/>
  <c r="AS495" i="31" s="1"/>
  <c r="AS496" i="31" s="1"/>
  <c r="AS497" i="31" s="1"/>
  <c r="AS498" i="31" s="1"/>
  <c r="AS499" i="31" s="1"/>
  <c r="AS500" i="31" s="1"/>
  <c r="AS501" i="31" s="1"/>
  <c r="AS502" i="31" s="1"/>
  <c r="AS503" i="31" s="1"/>
  <c r="AS504" i="31" s="1"/>
  <c r="AS505" i="31" s="1"/>
  <c r="AS506" i="31" s="1"/>
  <c r="AS507" i="31" s="1"/>
  <c r="AS508" i="31" s="1"/>
  <c r="AS509" i="31" s="1"/>
  <c r="AS510" i="31" s="1"/>
  <c r="AS511" i="31" s="1"/>
  <c r="AS512" i="31" s="1"/>
  <c r="AS513" i="31" s="1"/>
  <c r="AS514" i="31" s="1"/>
  <c r="AS515" i="31" s="1"/>
  <c r="AS516" i="31" s="1"/>
  <c r="AS517" i="31" s="1"/>
  <c r="AS518" i="31" s="1"/>
  <c r="AS519" i="31" s="1"/>
  <c r="AS520" i="31" s="1"/>
  <c r="AS521" i="31" s="1"/>
  <c r="AS522" i="31" s="1"/>
  <c r="AS523" i="31" s="1"/>
  <c r="AS524" i="31" s="1"/>
  <c r="AS525" i="31" s="1"/>
  <c r="AS526" i="31" s="1"/>
  <c r="AS527" i="31" s="1"/>
  <c r="AS528" i="31" s="1"/>
  <c r="AS529" i="31" s="1"/>
  <c r="AS530" i="31" s="1"/>
  <c r="AS531" i="31" s="1"/>
  <c r="AS532" i="31" s="1"/>
  <c r="AS533" i="31" s="1"/>
  <c r="AS534" i="31" s="1"/>
  <c r="AS535" i="31" s="1"/>
  <c r="AS536" i="31" s="1"/>
  <c r="AS537" i="31" s="1"/>
  <c r="AS538" i="31" s="1"/>
  <c r="AS539" i="31" s="1"/>
  <c r="AS540" i="31" s="1"/>
  <c r="AS541" i="31" s="1"/>
  <c r="AS542" i="31" s="1"/>
  <c r="AS543" i="31" s="1"/>
  <c r="AS544" i="31" s="1"/>
  <c r="AS545" i="31" s="1"/>
  <c r="AS546" i="31" s="1"/>
  <c r="AS547" i="31" s="1"/>
  <c r="AS548" i="31" s="1"/>
  <c r="AS549" i="31" s="1"/>
  <c r="AS550" i="31" s="1"/>
  <c r="AS551" i="31" s="1"/>
  <c r="AS552" i="31" s="1"/>
  <c r="AS553" i="31" s="1"/>
  <c r="AS554" i="31" s="1"/>
  <c r="AS555" i="31" s="1"/>
  <c r="AS556" i="31" s="1"/>
  <c r="AS557" i="31" s="1"/>
  <c r="AS558" i="31" s="1"/>
  <c r="AS559" i="31" s="1"/>
  <c r="AS560" i="31" s="1"/>
  <c r="AS561" i="31" s="1"/>
  <c r="AS562" i="31" s="1"/>
  <c r="AS563" i="31" s="1"/>
  <c r="AS564" i="31" s="1"/>
  <c r="AS565" i="31" s="1"/>
  <c r="AS566" i="31" s="1"/>
  <c r="AS567" i="31" s="1"/>
  <c r="AS568" i="31" s="1"/>
  <c r="AS569" i="31" s="1"/>
  <c r="AS570" i="31" s="1"/>
  <c r="AS571" i="31" s="1"/>
  <c r="AS572" i="31" s="1"/>
  <c r="AS573" i="31" s="1"/>
  <c r="AS574" i="31" s="1"/>
  <c r="AS575" i="31" s="1"/>
  <c r="AS576" i="31" s="1"/>
  <c r="AS577" i="31" s="1"/>
  <c r="AS578" i="31" s="1"/>
  <c r="AS579" i="31" s="1"/>
  <c r="AS580" i="31" s="1"/>
  <c r="AS581" i="31" s="1"/>
  <c r="AS582" i="31" s="1"/>
  <c r="AS583" i="31" s="1"/>
  <c r="AS584" i="31" s="1"/>
  <c r="AS585" i="31" s="1"/>
  <c r="AS586" i="31" s="1"/>
  <c r="AS587" i="31" s="1"/>
  <c r="AS588" i="31" s="1"/>
  <c r="AS589" i="31" s="1"/>
  <c r="AS590" i="31" s="1"/>
  <c r="AS591" i="31" s="1"/>
  <c r="AS592" i="31" s="1"/>
  <c r="AS593" i="31" s="1"/>
  <c r="AS594" i="31" s="1"/>
  <c r="AS595" i="31" s="1"/>
  <c r="AS596" i="31" s="1"/>
  <c r="AS597" i="31" s="1"/>
  <c r="AS598" i="31" s="1"/>
  <c r="AS599" i="31" s="1"/>
  <c r="AS600" i="31" s="1"/>
  <c r="AS601" i="31" s="1"/>
  <c r="AS602" i="31" s="1"/>
  <c r="AS603" i="31" s="1"/>
  <c r="AS604" i="31" s="1"/>
  <c r="AS605" i="31" s="1"/>
  <c r="AS606" i="31" s="1"/>
  <c r="AS607" i="31" s="1"/>
  <c r="AS608" i="31" s="1"/>
  <c r="AS609" i="31" s="1"/>
  <c r="AS610" i="31" s="1"/>
  <c r="AS611" i="31" s="1"/>
  <c r="AS612" i="31" s="1"/>
  <c r="AS613" i="31" s="1"/>
  <c r="AR13" i="31"/>
  <c r="AR14" i="31"/>
  <c r="AR27" i="31"/>
  <c r="AR39" i="31"/>
  <c r="AR51" i="31"/>
  <c r="AR63" i="31"/>
  <c r="AR15" i="31"/>
  <c r="AR28" i="31"/>
  <c r="AR40" i="31"/>
  <c r="AR52" i="31"/>
  <c r="AR64" i="31"/>
  <c r="AR20" i="31"/>
  <c r="AR32" i="31"/>
  <c r="AR44" i="31"/>
  <c r="AR56" i="31"/>
  <c r="AR68" i="31"/>
  <c r="AU17" i="31"/>
  <c r="AR33" i="31"/>
  <c r="AR48" i="31"/>
  <c r="AR65" i="31"/>
  <c r="AR19" i="31"/>
  <c r="AR50" i="31"/>
  <c r="AR36" i="31"/>
  <c r="AR53" i="31"/>
  <c r="AR69" i="31"/>
  <c r="AR18" i="31"/>
  <c r="AR34" i="31"/>
  <c r="AR49" i="31"/>
  <c r="AR66" i="31"/>
  <c r="AR35" i="31"/>
  <c r="AR67" i="31"/>
  <c r="AR21" i="31"/>
  <c r="AR22" i="31"/>
  <c r="AR43" i="31"/>
  <c r="AR70" i="31"/>
  <c r="AR23" i="31"/>
  <c r="AR45" i="31"/>
  <c r="AR71" i="31"/>
  <c r="AR24" i="31"/>
  <c r="AR46" i="31"/>
  <c r="AR72" i="31"/>
  <c r="AR25" i="31"/>
  <c r="AR47" i="31"/>
  <c r="AR73" i="31"/>
  <c r="AR26" i="31"/>
  <c r="AR54" i="31"/>
  <c r="AR29" i="31"/>
  <c r="AR55" i="31"/>
  <c r="AR30" i="31"/>
  <c r="AR57" i="31"/>
  <c r="AR31" i="31"/>
  <c r="AR58" i="31"/>
  <c r="AR37" i="31"/>
  <c r="AR59" i="31"/>
  <c r="AR38" i="31"/>
  <c r="AR60" i="31"/>
  <c r="AR41" i="31"/>
  <c r="AR42" i="31"/>
  <c r="AR61" i="31"/>
  <c r="AR62" i="31"/>
  <c r="N19" i="31" l="1"/>
  <c r="AU14" i="31"/>
  <c r="AU27" i="31"/>
  <c r="AU39" i="31"/>
  <c r="AU51" i="31"/>
  <c r="AU63" i="31"/>
  <c r="AU75" i="31"/>
  <c r="AU87" i="31"/>
  <c r="AU99" i="31"/>
  <c r="AU111" i="31"/>
  <c r="AU123" i="31"/>
  <c r="AU135" i="31"/>
  <c r="AU147" i="31"/>
  <c r="AU159" i="31"/>
  <c r="AU15" i="31"/>
  <c r="AU28" i="31"/>
  <c r="AU40" i="31"/>
  <c r="AU52" i="31"/>
  <c r="AU64" i="31"/>
  <c r="AU76" i="31"/>
  <c r="AU88" i="31"/>
  <c r="AU100" i="31"/>
  <c r="AU112" i="31"/>
  <c r="AU124" i="31"/>
  <c r="AU136" i="31"/>
  <c r="AU148" i="31"/>
  <c r="AU160" i="31"/>
  <c r="AU172" i="31"/>
  <c r="AU184" i="31"/>
  <c r="AU196" i="31"/>
  <c r="AU208" i="31"/>
  <c r="AU220" i="31"/>
  <c r="AU232" i="31"/>
  <c r="AU244" i="31"/>
  <c r="AU256" i="31"/>
  <c r="AU268" i="31"/>
  <c r="AU280" i="31"/>
  <c r="AU292" i="31"/>
  <c r="AU304" i="31"/>
  <c r="AU316" i="31"/>
  <c r="AU328" i="31"/>
  <c r="AU340" i="31"/>
  <c r="AU352" i="31"/>
  <c r="AU364" i="31"/>
  <c r="AU376" i="31"/>
  <c r="AU388" i="31"/>
  <c r="AU400" i="31"/>
  <c r="AU412" i="31"/>
  <c r="AU424" i="31"/>
  <c r="AU23" i="31"/>
  <c r="AU37" i="31"/>
  <c r="AU53" i="31"/>
  <c r="AU67" i="31"/>
  <c r="AU81" i="31"/>
  <c r="AU95" i="31"/>
  <c r="AU109" i="31"/>
  <c r="AU125" i="31"/>
  <c r="AU139" i="31"/>
  <c r="AU153" i="31"/>
  <c r="AU167" i="31"/>
  <c r="AU180" i="31"/>
  <c r="AU193" i="31"/>
  <c r="AU206" i="31"/>
  <c r="AU219" i="31"/>
  <c r="AU233" i="31"/>
  <c r="AU246" i="31"/>
  <c r="AU259" i="31"/>
  <c r="AU272" i="31"/>
  <c r="AU285" i="31"/>
  <c r="AU298" i="31"/>
  <c r="AU311" i="31"/>
  <c r="AU324" i="31"/>
  <c r="AU337" i="31"/>
  <c r="AU350" i="31"/>
  <c r="AU363" i="31"/>
  <c r="AU377" i="31"/>
  <c r="AU390" i="31"/>
  <c r="AU403" i="31"/>
  <c r="AU416" i="31"/>
  <c r="AU429" i="31"/>
  <c r="AU441" i="31"/>
  <c r="AU453" i="31"/>
  <c r="AU465" i="31"/>
  <c r="AU477" i="31"/>
  <c r="AU489" i="31"/>
  <c r="AU501" i="31"/>
  <c r="AU513" i="31"/>
  <c r="AU525" i="31"/>
  <c r="AU537" i="31"/>
  <c r="AU549" i="31"/>
  <c r="AU561" i="31"/>
  <c r="AU573" i="31"/>
  <c r="AU585" i="31"/>
  <c r="AU597" i="31"/>
  <c r="AU609" i="31"/>
  <c r="AU25" i="31"/>
  <c r="AU41" i="31"/>
  <c r="AU55" i="31"/>
  <c r="AU69" i="31"/>
  <c r="AU83" i="31"/>
  <c r="AU97" i="31"/>
  <c r="AU113" i="31"/>
  <c r="AU127" i="31"/>
  <c r="AU141" i="31"/>
  <c r="AU155" i="31"/>
  <c r="AU169" i="31"/>
  <c r="AU182" i="31"/>
  <c r="AU195" i="31"/>
  <c r="AU209" i="31"/>
  <c r="AU222" i="31"/>
  <c r="AU235" i="31"/>
  <c r="AU248" i="31"/>
  <c r="AU261" i="31"/>
  <c r="AU274" i="31"/>
  <c r="AU287" i="31"/>
  <c r="AU300" i="31"/>
  <c r="AU29" i="31"/>
  <c r="AU45" i="31"/>
  <c r="AU61" i="31"/>
  <c r="AU79" i="31"/>
  <c r="AU96" i="31"/>
  <c r="AU115" i="31"/>
  <c r="AU131" i="31"/>
  <c r="AU149" i="31"/>
  <c r="AU165" i="31"/>
  <c r="AU181" i="31"/>
  <c r="AU198" i="31"/>
  <c r="AU213" i="31"/>
  <c r="AU228" i="31"/>
  <c r="AU243" i="31"/>
  <c r="AU260" i="31"/>
  <c r="AU276" i="31"/>
  <c r="AU291" i="31"/>
  <c r="AU307" i="31"/>
  <c r="AU321" i="31"/>
  <c r="AU335" i="31"/>
  <c r="AU349" i="31"/>
  <c r="AU365" i="31"/>
  <c r="AU379" i="31"/>
  <c r="AU393" i="31"/>
  <c r="AU407" i="31"/>
  <c r="AU421" i="31"/>
  <c r="AU435" i="31"/>
  <c r="AU448" i="31"/>
  <c r="AU461" i="31"/>
  <c r="AU474" i="31"/>
  <c r="AU487" i="31"/>
  <c r="AU500" i="31"/>
  <c r="AU514" i="31"/>
  <c r="AU527" i="31"/>
  <c r="AU540" i="31"/>
  <c r="AU553" i="31"/>
  <c r="AU566" i="31"/>
  <c r="AU579" i="31"/>
  <c r="AU592" i="31"/>
  <c r="AU605" i="31"/>
  <c r="AU30" i="31"/>
  <c r="AU46" i="31"/>
  <c r="AU62" i="31"/>
  <c r="AU80" i="31"/>
  <c r="AU98" i="31"/>
  <c r="AU116" i="31"/>
  <c r="AU132" i="31"/>
  <c r="AU150" i="31"/>
  <c r="AU166" i="31"/>
  <c r="AU183" i="31"/>
  <c r="AU199" i="31"/>
  <c r="AU214" i="31"/>
  <c r="AU229" i="31"/>
  <c r="AU245" i="31"/>
  <c r="AU262" i="31"/>
  <c r="AU277" i="31"/>
  <c r="AU293" i="31"/>
  <c r="AU308" i="31"/>
  <c r="AU322" i="31"/>
  <c r="AU336" i="31"/>
  <c r="AU351" i="31"/>
  <c r="AU366" i="31"/>
  <c r="AU380" i="31"/>
  <c r="AU394" i="31"/>
  <c r="AU408" i="31"/>
  <c r="AU422" i="31"/>
  <c r="AU436" i="31"/>
  <c r="AU449" i="31"/>
  <c r="AU462" i="31"/>
  <c r="AU475" i="31"/>
  <c r="AU488" i="31"/>
  <c r="AU502" i="31"/>
  <c r="AU515" i="31"/>
  <c r="AU528" i="31"/>
  <c r="AU541" i="31"/>
  <c r="AU554" i="31"/>
  <c r="AU567" i="31"/>
  <c r="AU580" i="31"/>
  <c r="AU593" i="31"/>
  <c r="AU606" i="31"/>
  <c r="AU31" i="31"/>
  <c r="AU47" i="31"/>
  <c r="AU65" i="31"/>
  <c r="AU82" i="31"/>
  <c r="AU101" i="31"/>
  <c r="AU117" i="31"/>
  <c r="AU133" i="31"/>
  <c r="AU151" i="31"/>
  <c r="AU168" i="31"/>
  <c r="AU185" i="31"/>
  <c r="AU200" i="31"/>
  <c r="AU215" i="31"/>
  <c r="AU230" i="31"/>
  <c r="AU247" i="31"/>
  <c r="AU263" i="31"/>
  <c r="AU278" i="31"/>
  <c r="AU294" i="31"/>
  <c r="AU309" i="31"/>
  <c r="AU323" i="31"/>
  <c r="AU338" i="31"/>
  <c r="AU353" i="31"/>
  <c r="AU367" i="31"/>
  <c r="AU381" i="31"/>
  <c r="AU395" i="31"/>
  <c r="AU409" i="31"/>
  <c r="AU423" i="31"/>
  <c r="AU437" i="31"/>
  <c r="AU450" i="31"/>
  <c r="AU463" i="31"/>
  <c r="AU476" i="31"/>
  <c r="AU490" i="31"/>
  <c r="AU503" i="31"/>
  <c r="AU516" i="31"/>
  <c r="AU529" i="31"/>
  <c r="AU542" i="31"/>
  <c r="AU555" i="31"/>
  <c r="AU568" i="31"/>
  <c r="AU581" i="31"/>
  <c r="AU594" i="31"/>
  <c r="AU607" i="31"/>
  <c r="AU32" i="31"/>
  <c r="AU48" i="31"/>
  <c r="AU66" i="31"/>
  <c r="AU84" i="31"/>
  <c r="AU102" i="31"/>
  <c r="AU118" i="31"/>
  <c r="AU134" i="31"/>
  <c r="AU152" i="31"/>
  <c r="AU170" i="31"/>
  <c r="AU186" i="31"/>
  <c r="AU201" i="31"/>
  <c r="AU216" i="31"/>
  <c r="AU231" i="31"/>
  <c r="AU249" i="31"/>
  <c r="AU264" i="31"/>
  <c r="AU279" i="31"/>
  <c r="AU295" i="31"/>
  <c r="AU310" i="31"/>
  <c r="AU325" i="31"/>
  <c r="AU339" i="31"/>
  <c r="AU354" i="31"/>
  <c r="AU368" i="31"/>
  <c r="AU382" i="31"/>
  <c r="AU396" i="31"/>
  <c r="AU410" i="31"/>
  <c r="AU425" i="31"/>
  <c r="AU438" i="31"/>
  <c r="AU451" i="31"/>
  <c r="AU464" i="31"/>
  <c r="AU478" i="31"/>
  <c r="AU491" i="31"/>
  <c r="AU504" i="31"/>
  <c r="AU517" i="31"/>
  <c r="AU530" i="31"/>
  <c r="AU543" i="31"/>
  <c r="AU556" i="31"/>
  <c r="AU569" i="31"/>
  <c r="AU582" i="31"/>
  <c r="AU595" i="31"/>
  <c r="AU608" i="31"/>
  <c r="AU33" i="31"/>
  <c r="AU68" i="31"/>
  <c r="AU85" i="31"/>
  <c r="AU119" i="31"/>
  <c r="AU154" i="31"/>
  <c r="AU187" i="31"/>
  <c r="AU217" i="31"/>
  <c r="AU250" i="31"/>
  <c r="AU281" i="31"/>
  <c r="AU312" i="31"/>
  <c r="AU341" i="31"/>
  <c r="AU369" i="31"/>
  <c r="AU397" i="31"/>
  <c r="AU426" i="31"/>
  <c r="AU452" i="31"/>
  <c r="AU479" i="31"/>
  <c r="AU505" i="31"/>
  <c r="AU531" i="31"/>
  <c r="AU557" i="31"/>
  <c r="AU583" i="31"/>
  <c r="AU610" i="31"/>
  <c r="AX17" i="31"/>
  <c r="AU49" i="31"/>
  <c r="AU103" i="31"/>
  <c r="AU137" i="31"/>
  <c r="AU171" i="31"/>
  <c r="AU202" i="31"/>
  <c r="AU234" i="31"/>
  <c r="AU265" i="31"/>
  <c r="AU296" i="31"/>
  <c r="AU326" i="31"/>
  <c r="AU355" i="31"/>
  <c r="AU383" i="31"/>
  <c r="AU411" i="31"/>
  <c r="AU439" i="31"/>
  <c r="AU466" i="31"/>
  <c r="AU492" i="31"/>
  <c r="AU518" i="31"/>
  <c r="AU544" i="31"/>
  <c r="AU570" i="31"/>
  <c r="AU596" i="31"/>
  <c r="AU20" i="31"/>
  <c r="AU50" i="31"/>
  <c r="AU77" i="31"/>
  <c r="AU107" i="31"/>
  <c r="AU140" i="31"/>
  <c r="AU164" i="31"/>
  <c r="AU192" i="31"/>
  <c r="AU223" i="31"/>
  <c r="AU251" i="31"/>
  <c r="AU273" i="31"/>
  <c r="AU302" i="31"/>
  <c r="AU329" i="31"/>
  <c r="AU348" i="31"/>
  <c r="AU374" i="31"/>
  <c r="AU401" i="31"/>
  <c r="AU427" i="31"/>
  <c r="AU446" i="31"/>
  <c r="AU470" i="31"/>
  <c r="AU494" i="31"/>
  <c r="AU512" i="31"/>
  <c r="AU536" i="31"/>
  <c r="AU560" i="31"/>
  <c r="AU584" i="31"/>
  <c r="AU603" i="31"/>
  <c r="AU21" i="31"/>
  <c r="AU54" i="31"/>
  <c r="AU78" i="31"/>
  <c r="AU108" i="31"/>
  <c r="AU142" i="31"/>
  <c r="AU173" i="31"/>
  <c r="AU194" i="31"/>
  <c r="AU224" i="31"/>
  <c r="AU252" i="31"/>
  <c r="AU275" i="31"/>
  <c r="AU303" i="31"/>
  <c r="AU330" i="31"/>
  <c r="AU356" i="31"/>
  <c r="AU375" i="31"/>
  <c r="AU402" i="31"/>
  <c r="AU428" i="31"/>
  <c r="AU447" i="31"/>
  <c r="AU471" i="31"/>
  <c r="AU495" i="31"/>
  <c r="AU519" i="31"/>
  <c r="AU538" i="31"/>
  <c r="AU562" i="31"/>
  <c r="AU586" i="31"/>
  <c r="AU604" i="31"/>
  <c r="AU86" i="31"/>
  <c r="AU143" i="31"/>
  <c r="AU225" i="31"/>
  <c r="AU282" i="31"/>
  <c r="AU22" i="31"/>
  <c r="AU56" i="31"/>
  <c r="AU110" i="31"/>
  <c r="AU174" i="31"/>
  <c r="AU197" i="31"/>
  <c r="AU253" i="31"/>
  <c r="AU305" i="31"/>
  <c r="AU24" i="31"/>
  <c r="AU60" i="31"/>
  <c r="AU104" i="31"/>
  <c r="AU144" i="31"/>
  <c r="AU178" i="31"/>
  <c r="AU212" i="31"/>
  <c r="AU254" i="31"/>
  <c r="AU288" i="31"/>
  <c r="AU319" i="31"/>
  <c r="AU347" i="31"/>
  <c r="AU384" i="31"/>
  <c r="AU413" i="31"/>
  <c r="AU440" i="31"/>
  <c r="AU467" i="31"/>
  <c r="AU493" i="31"/>
  <c r="AU521" i="31"/>
  <c r="AU547" i="31"/>
  <c r="AU574" i="31"/>
  <c r="AU600" i="31"/>
  <c r="AU577" i="31"/>
  <c r="AU333" i="31"/>
  <c r="AU454" i="31"/>
  <c r="AU558" i="31"/>
  <c r="AU89" i="31"/>
  <c r="AU237" i="31"/>
  <c r="AU392" i="31"/>
  <c r="AU533" i="31"/>
  <c r="AU90" i="31"/>
  <c r="AU238" i="31"/>
  <c r="AU342" i="31"/>
  <c r="AU456" i="31"/>
  <c r="AU563" i="31"/>
  <c r="AU91" i="31"/>
  <c r="AU271" i="31"/>
  <c r="AU431" i="31"/>
  <c r="AU535" i="31"/>
  <c r="AU175" i="31"/>
  <c r="AU344" i="31"/>
  <c r="AU458" i="31"/>
  <c r="AU565" i="31"/>
  <c r="AU93" i="31"/>
  <c r="AU241" i="31"/>
  <c r="AU26" i="31"/>
  <c r="AU70" i="31"/>
  <c r="AU105" i="31"/>
  <c r="AU145" i="31"/>
  <c r="AU179" i="31"/>
  <c r="AU218" i="31"/>
  <c r="AU255" i="31"/>
  <c r="AU289" i="31"/>
  <c r="AU320" i="31"/>
  <c r="AU357" i="31"/>
  <c r="AU385" i="31"/>
  <c r="AU414" i="31"/>
  <c r="AU442" i="31"/>
  <c r="AU468" i="31"/>
  <c r="AU496" i="31"/>
  <c r="AU522" i="31"/>
  <c r="AU548" i="31"/>
  <c r="AU575" i="31"/>
  <c r="AU601" i="31"/>
  <c r="AU189" i="31"/>
  <c r="AU331" i="31"/>
  <c r="AU387" i="31"/>
  <c r="AU444" i="31"/>
  <c r="AU498" i="31"/>
  <c r="AU551" i="31"/>
  <c r="AU611" i="31"/>
  <c r="AU38" i="31"/>
  <c r="AU236" i="31"/>
  <c r="AU391" i="31"/>
  <c r="AU506" i="31"/>
  <c r="AU587" i="31"/>
  <c r="AU161" i="31"/>
  <c r="AU306" i="31"/>
  <c r="AU420" i="31"/>
  <c r="AU507" i="31"/>
  <c r="AU13" i="31"/>
  <c r="AU43" i="31"/>
  <c r="AU162" i="31"/>
  <c r="AU313" i="31"/>
  <c r="AU430" i="31"/>
  <c r="AU534" i="31"/>
  <c r="AU44" i="31"/>
  <c r="AU205" i="31"/>
  <c r="AU343" i="31"/>
  <c r="AU457" i="31"/>
  <c r="AU564" i="31"/>
  <c r="AU129" i="31"/>
  <c r="AU283" i="31"/>
  <c r="AU404" i="31"/>
  <c r="AU510" i="31"/>
  <c r="AU58" i="31"/>
  <c r="AU176" i="31"/>
  <c r="AU317" i="31"/>
  <c r="AU34" i="31"/>
  <c r="AU71" i="31"/>
  <c r="AU106" i="31"/>
  <c r="AU146" i="31"/>
  <c r="AU188" i="31"/>
  <c r="AU221" i="31"/>
  <c r="AU257" i="31"/>
  <c r="AU290" i="31"/>
  <c r="AU327" i="31"/>
  <c r="AU358" i="31"/>
  <c r="AU386" i="31"/>
  <c r="AU415" i="31"/>
  <c r="AU443" i="31"/>
  <c r="AU469" i="31"/>
  <c r="AU497" i="31"/>
  <c r="AU523" i="31"/>
  <c r="AU550" i="31"/>
  <c r="AU576" i="31"/>
  <c r="AU602" i="31"/>
  <c r="AU35" i="31"/>
  <c r="AU72" i="31"/>
  <c r="AU114" i="31"/>
  <c r="AU156" i="31"/>
  <c r="AU226" i="31"/>
  <c r="AU258" i="31"/>
  <c r="AU297" i="31"/>
  <c r="AU359" i="31"/>
  <c r="AU417" i="31"/>
  <c r="AU472" i="31"/>
  <c r="AU524" i="31"/>
  <c r="AU301" i="31"/>
  <c r="AU419" i="31"/>
  <c r="AU532" i="31"/>
  <c r="AU42" i="31"/>
  <c r="AU203" i="31"/>
  <c r="AU334" i="31"/>
  <c r="AU455" i="31"/>
  <c r="AU588" i="31"/>
  <c r="AU204" i="31"/>
  <c r="AU370" i="31"/>
  <c r="AU508" i="31"/>
  <c r="AU163" i="31"/>
  <c r="AU239" i="31"/>
  <c r="AU371" i="31"/>
  <c r="AU483" i="31"/>
  <c r="AU590" i="31"/>
  <c r="AU57" i="31"/>
  <c r="AU207" i="31"/>
  <c r="AU315" i="31"/>
  <c r="AU432" i="31"/>
  <c r="AU539" i="31"/>
  <c r="AU130" i="31"/>
  <c r="AU284" i="31"/>
  <c r="AU36" i="31"/>
  <c r="AU73" i="31"/>
  <c r="AU120" i="31"/>
  <c r="AU157" i="31"/>
  <c r="AU190" i="31"/>
  <c r="AU227" i="31"/>
  <c r="AU266" i="31"/>
  <c r="AU299" i="31"/>
  <c r="AU332" i="31"/>
  <c r="AU360" i="31"/>
  <c r="AU389" i="31"/>
  <c r="AU418" i="31"/>
  <c r="AU445" i="31"/>
  <c r="AU473" i="31"/>
  <c r="AU499" i="31"/>
  <c r="AU526" i="31"/>
  <c r="AU552" i="31"/>
  <c r="AU578" i="31"/>
  <c r="AU612" i="31"/>
  <c r="AU74" i="31"/>
  <c r="AU121" i="31"/>
  <c r="AU158" i="31"/>
  <c r="AU191" i="31"/>
  <c r="AU267" i="31"/>
  <c r="AU361" i="31"/>
  <c r="AU480" i="31"/>
  <c r="AU613" i="31"/>
  <c r="AU122" i="31"/>
  <c r="AU269" i="31"/>
  <c r="AU362" i="31"/>
  <c r="AU481" i="31"/>
  <c r="AU559" i="31"/>
  <c r="AU126" i="31"/>
  <c r="AU270" i="31"/>
  <c r="AU398" i="31"/>
  <c r="AU482" i="31"/>
  <c r="AU589" i="31"/>
  <c r="AU128" i="31"/>
  <c r="AU314" i="31"/>
  <c r="AU399" i="31"/>
  <c r="AU509" i="31"/>
  <c r="AU92" i="31"/>
  <c r="AU240" i="31"/>
  <c r="AU372" i="31"/>
  <c r="AU484" i="31"/>
  <c r="AU591" i="31"/>
  <c r="AU18" i="31"/>
  <c r="AU210" i="31"/>
  <c r="AU59" i="31"/>
  <c r="AU405" i="31"/>
  <c r="AU571" i="31"/>
  <c r="AU94" i="31"/>
  <c r="AU406" i="31"/>
  <c r="AU572" i="31"/>
  <c r="AU138" i="31"/>
  <c r="AU433" i="31"/>
  <c r="AU598" i="31"/>
  <c r="AU177" i="31"/>
  <c r="AU434" i="31"/>
  <c r="AU599" i="31"/>
  <c r="AU211" i="31"/>
  <c r="AU459" i="31"/>
  <c r="AU242" i="31"/>
  <c r="AU460" i="31"/>
  <c r="AU286" i="31"/>
  <c r="AU485" i="31"/>
  <c r="AU318" i="31"/>
  <c r="AU486" i="31"/>
  <c r="AU345" i="31"/>
  <c r="AU511" i="31"/>
  <c r="AU346" i="31"/>
  <c r="AU520" i="31"/>
  <c r="AU373" i="31"/>
  <c r="AU545" i="31"/>
  <c r="AU19" i="31"/>
  <c r="AU546" i="31"/>
  <c r="AU378" i="31"/>
  <c r="Y18" i="31" l="1"/>
  <c r="D31" i="31" l="1"/>
  <c r="Y19" i="31"/>
  <c r="F31" i="31" s="1"/>
  <c r="X20" i="31" l="1"/>
  <c r="AX13" i="31"/>
  <c r="AW14" i="31"/>
  <c r="AZ13" i="31" l="1"/>
  <c r="BA13" i="31"/>
  <c r="AY13" i="31" a="1"/>
  <c r="AX14" i="31"/>
  <c r="AY14" i="31" s="1" a="1"/>
  <c r="AW15" i="31"/>
  <c r="BB13" i="31" l="1"/>
  <c r="AZ14" i="31"/>
  <c r="BA14" i="31"/>
  <c r="AX15" i="31"/>
  <c r="AY15" i="31" s="1" a="1"/>
  <c r="AZ17" i="31"/>
  <c r="BB14" i="31" l="1"/>
  <c r="BA15" i="31"/>
  <c r="AZ15" i="31"/>
  <c r="BA17" i="31"/>
  <c r="BB17" i="31" s="1" a="1"/>
  <c r="AW18" i="31"/>
  <c r="BB15" i="31" l="1"/>
  <c r="BD17" i="31"/>
  <c r="BC17" i="31"/>
  <c r="AX18" i="31"/>
  <c r="AY18" i="31" s="1" a="1"/>
  <c r="AW19" i="31"/>
  <c r="BE17" i="31" l="1"/>
  <c r="BA18" i="31"/>
  <c r="AZ18" i="31"/>
  <c r="AX19" i="31"/>
  <c r="AY19" i="31" s="1" a="1"/>
  <c r="AW20" i="31"/>
  <c r="BB18" i="31" l="1"/>
  <c r="BA19" i="31"/>
  <c r="AZ19" i="31"/>
  <c r="AX20" i="31"/>
  <c r="AY20" i="31" s="1" a="1"/>
  <c r="AW21" i="31"/>
  <c r="BB19" i="31" l="1"/>
  <c r="BA20" i="31"/>
  <c r="AZ20" i="31"/>
  <c r="AX21" i="31"/>
  <c r="AY21" i="31" s="1" a="1"/>
  <c r="AW22" i="31"/>
  <c r="BB20" i="31" l="1"/>
  <c r="AZ21" i="31"/>
  <c r="BA21" i="31"/>
  <c r="AW23" i="31"/>
  <c r="AX22" i="31"/>
  <c r="AY22" i="31" s="1" a="1"/>
  <c r="BB21" i="31" l="1"/>
  <c r="AZ22" i="31"/>
  <c r="BA22" i="31"/>
  <c r="AX23" i="31"/>
  <c r="AY23" i="31" s="1" a="1"/>
  <c r="AW24" i="31"/>
  <c r="BB22" i="31" l="1"/>
  <c r="BA23" i="31"/>
  <c r="AZ23" i="31"/>
  <c r="AW25" i="31"/>
  <c r="AX24" i="31"/>
  <c r="AY24" i="31" s="1" a="1"/>
  <c r="BB23" i="31" l="1"/>
  <c r="BA24" i="31"/>
  <c r="AZ24" i="31"/>
  <c r="AX25" i="31"/>
  <c r="AY25" i="31" s="1" a="1"/>
  <c r="AW26" i="31"/>
  <c r="BB24" i="31" l="1"/>
  <c r="AZ25" i="31"/>
  <c r="BA25" i="31"/>
  <c r="AW27" i="31"/>
  <c r="AX26" i="31"/>
  <c r="AY26" i="31" s="1" a="1"/>
  <c r="BB25" i="31" l="1"/>
  <c r="BA26" i="31"/>
  <c r="AZ26" i="31"/>
  <c r="AW28" i="31"/>
  <c r="AX27" i="31"/>
  <c r="AY27" i="31" s="1" a="1"/>
  <c r="BB26" i="31" l="1"/>
  <c r="AZ27" i="31"/>
  <c r="BA27" i="31"/>
  <c r="AW29" i="31"/>
  <c r="AX28" i="31"/>
  <c r="AY28" i="31" s="1" a="1"/>
  <c r="BA28" i="31" l="1"/>
  <c r="AZ28" i="31"/>
  <c r="BB27" i="31"/>
  <c r="AW30" i="31"/>
  <c r="AX29" i="31"/>
  <c r="AY29" i="31" s="1" a="1"/>
  <c r="BB28" i="31" l="1"/>
  <c r="BA29" i="31"/>
  <c r="AZ29" i="31"/>
  <c r="AW31" i="31"/>
  <c r="AX30" i="31"/>
  <c r="AY30" i="31" s="1" a="1"/>
  <c r="BB29" i="31" l="1"/>
  <c r="BA30" i="31"/>
  <c r="AZ30" i="31"/>
  <c r="AW32" i="31"/>
  <c r="AX31" i="31"/>
  <c r="AY31" i="31" s="1" a="1"/>
  <c r="BB30" i="31" l="1"/>
  <c r="BA31" i="31"/>
  <c r="AZ31" i="31"/>
  <c r="AW33" i="31"/>
  <c r="AX32" i="31"/>
  <c r="AY32" i="31" s="1" a="1"/>
  <c r="BB31" i="31" l="1"/>
  <c r="BA32" i="31"/>
  <c r="AZ32" i="31"/>
  <c r="AW34" i="31"/>
  <c r="AX33" i="31"/>
  <c r="AY33" i="31" s="1" a="1"/>
  <c r="BB32" i="31" l="1"/>
  <c r="BA33" i="31"/>
  <c r="AZ33" i="31"/>
  <c r="AX34" i="31"/>
  <c r="AY34" i="31" s="1" a="1"/>
  <c r="AW35" i="31"/>
  <c r="BB33" i="31" l="1"/>
  <c r="AZ34" i="31"/>
  <c r="BA34" i="31"/>
  <c r="AW36" i="31"/>
  <c r="AX35" i="31"/>
  <c r="AY35" i="31" s="1" a="1"/>
  <c r="BB34" i="31" l="1"/>
  <c r="AZ35" i="31"/>
  <c r="BA35" i="31"/>
  <c r="AX36" i="31"/>
  <c r="AY36" i="31" s="1" a="1"/>
  <c r="AW37" i="31"/>
  <c r="BB35" i="31" l="1"/>
  <c r="BA36" i="31"/>
  <c r="AZ36" i="31"/>
  <c r="AX37" i="31"/>
  <c r="AY37" i="31" s="1" a="1"/>
  <c r="AW38" i="31"/>
  <c r="BB36" i="31" l="1"/>
  <c r="AZ37" i="31"/>
  <c r="BA37" i="31"/>
  <c r="AX38" i="31"/>
  <c r="AY38" i="31" s="1" a="1"/>
  <c r="AW39" i="31"/>
  <c r="BB37" i="31" l="1"/>
  <c r="BA38" i="31"/>
  <c r="AZ38" i="31"/>
  <c r="AX39" i="31"/>
  <c r="AY39" i="31" s="1" a="1"/>
  <c r="AW40" i="31"/>
  <c r="BB38" i="31" l="1"/>
  <c r="BA39" i="31"/>
  <c r="AZ39" i="31"/>
  <c r="AW41" i="31"/>
  <c r="AX40" i="31"/>
  <c r="AY40" i="31" s="1" a="1"/>
  <c r="BB39" i="31" l="1"/>
  <c r="BA40" i="31"/>
  <c r="AZ40" i="31"/>
  <c r="AX41" i="31"/>
  <c r="AY41" i="31" s="1" a="1"/>
  <c r="AW42" i="31"/>
  <c r="BA41" i="31" l="1"/>
  <c r="AZ41" i="31"/>
  <c r="BB40" i="31"/>
  <c r="AX42" i="31"/>
  <c r="AY42" i="31" s="1" a="1"/>
  <c r="AW43" i="31"/>
  <c r="BB41" i="31" l="1"/>
  <c r="BA42" i="31"/>
  <c r="AZ42" i="31"/>
  <c r="AX43" i="31"/>
  <c r="AY43" i="31" s="1" a="1"/>
  <c r="AW44" i="31"/>
  <c r="BB42" i="31" l="1"/>
  <c r="BA43" i="31"/>
  <c r="AZ43" i="31"/>
  <c r="AX44" i="31"/>
  <c r="AY44" i="31" s="1" a="1"/>
  <c r="AW45" i="31"/>
  <c r="BB43" i="31" l="1"/>
  <c r="BA44" i="31"/>
  <c r="AZ44" i="31"/>
  <c r="AX45" i="31"/>
  <c r="AY45" i="31" s="1" a="1"/>
  <c r="AW46" i="31"/>
  <c r="BB44" i="31" l="1"/>
  <c r="AZ45" i="31"/>
  <c r="BA45" i="31"/>
  <c r="AX46" i="31"/>
  <c r="AY46" i="31" s="1" a="1"/>
  <c r="AW47" i="31"/>
  <c r="BB45" i="31" l="1"/>
  <c r="BA46" i="31"/>
  <c r="AZ46" i="31"/>
  <c r="AX47" i="31"/>
  <c r="AY47" i="31" s="1" a="1"/>
  <c r="AW48" i="31"/>
  <c r="BB46" i="31" l="1"/>
  <c r="BA47" i="31"/>
  <c r="AZ47" i="31"/>
  <c r="AW49" i="31"/>
  <c r="AX48" i="31"/>
  <c r="AY48" i="31" s="1" a="1"/>
  <c r="BB47" i="31" l="1"/>
  <c r="BA48" i="31"/>
  <c r="AZ48" i="31"/>
  <c r="AW50" i="31"/>
  <c r="AX49" i="31"/>
  <c r="AY49" i="31" s="1" a="1"/>
  <c r="BB48" i="31" l="1"/>
  <c r="AZ49" i="31"/>
  <c r="BA49" i="31"/>
  <c r="AW51" i="31"/>
  <c r="AX50" i="31"/>
  <c r="AY50" i="31" s="1" a="1"/>
  <c r="BB49" i="31" l="1"/>
  <c r="BA50" i="31"/>
  <c r="AZ50" i="31"/>
  <c r="AW52" i="31"/>
  <c r="AX51" i="31"/>
  <c r="AY51" i="31" s="1" a="1"/>
  <c r="BB50" i="31" l="1"/>
  <c r="BA51" i="31"/>
  <c r="AZ51" i="31"/>
  <c r="AW53" i="31"/>
  <c r="AX52" i="31"/>
  <c r="AY52" i="31" s="1" a="1"/>
  <c r="BB51" i="31" l="1"/>
  <c r="BA52" i="31"/>
  <c r="AZ52" i="31"/>
  <c r="AX53" i="31"/>
  <c r="AY53" i="31" s="1" a="1"/>
  <c r="AW54" i="31"/>
  <c r="BB52" i="31" l="1"/>
  <c r="BA53" i="31"/>
  <c r="AZ53" i="31"/>
  <c r="AX54" i="31"/>
  <c r="AY54" i="31" s="1" a="1"/>
  <c r="AW55" i="31"/>
  <c r="BB53" i="31" l="1"/>
  <c r="BA54" i="31"/>
  <c r="AZ54" i="31"/>
  <c r="AX55" i="31"/>
  <c r="AY55" i="31" s="1" a="1"/>
  <c r="AW56" i="31"/>
  <c r="BB54" i="31" l="1"/>
  <c r="AZ55" i="31"/>
  <c r="BA55" i="31"/>
  <c r="AX56" i="31"/>
  <c r="AY56" i="31" s="1" a="1"/>
  <c r="AW57" i="31"/>
  <c r="BB55" i="31" l="1"/>
  <c r="AZ56" i="31"/>
  <c r="BA56" i="31"/>
  <c r="AX57" i="31"/>
  <c r="AY57" i="31" s="1" a="1"/>
  <c r="AW58" i="31"/>
  <c r="BB56" i="31" l="1"/>
  <c r="BA57" i="31"/>
  <c r="AZ57" i="31"/>
  <c r="AW59" i="31"/>
  <c r="AX58" i="31"/>
  <c r="AY58" i="31" s="1" a="1"/>
  <c r="BB57" i="31" l="1"/>
  <c r="AZ58" i="31"/>
  <c r="BA58" i="31"/>
  <c r="AW60" i="31"/>
  <c r="AX59" i="31"/>
  <c r="AY59" i="31" s="1" a="1"/>
  <c r="BB58" i="31" l="1"/>
  <c r="BA59" i="31"/>
  <c r="AZ59" i="31"/>
  <c r="AX60" i="31"/>
  <c r="AY60" i="31" s="1" a="1"/>
  <c r="AW61" i="31"/>
  <c r="BB59" i="31" l="1"/>
  <c r="AZ60" i="31"/>
  <c r="BA60" i="31"/>
  <c r="AX61" i="31"/>
  <c r="AY61" i="31" s="1" a="1"/>
  <c r="AW62" i="31"/>
  <c r="BB60" i="31" l="1"/>
  <c r="AZ61" i="31"/>
  <c r="BA61" i="31"/>
  <c r="AX62" i="31"/>
  <c r="AY62" i="31" s="1" a="1"/>
  <c r="AW63" i="31"/>
  <c r="BB61" i="31" l="1"/>
  <c r="BA62" i="31"/>
  <c r="AZ62" i="31"/>
  <c r="AW64" i="31"/>
  <c r="AX63" i="31"/>
  <c r="AY63" i="31" s="1" a="1"/>
  <c r="BB62" i="31" l="1"/>
  <c r="BA63" i="31"/>
  <c r="AZ63" i="31"/>
  <c r="AW65" i="31"/>
  <c r="AX64" i="31"/>
  <c r="AY64" i="31" s="1" a="1"/>
  <c r="BB63" i="31" l="1"/>
  <c r="AZ64" i="31"/>
  <c r="BA64" i="31"/>
  <c r="AW66" i="31"/>
  <c r="AX65" i="31"/>
  <c r="AY65" i="31" s="1" a="1"/>
  <c r="BB64" i="31" l="1"/>
  <c r="BA65" i="31"/>
  <c r="AZ65" i="31"/>
  <c r="AW67" i="31"/>
  <c r="AX66" i="31"/>
  <c r="AY66" i="31" s="1" a="1"/>
  <c r="BB65" i="31" l="1"/>
  <c r="BA66" i="31"/>
  <c r="AZ66" i="31"/>
  <c r="AX67" i="31"/>
  <c r="AY67" i="31" s="1" a="1"/>
  <c r="AW68" i="31"/>
  <c r="BB66" i="31" l="1"/>
  <c r="BA67" i="31"/>
  <c r="AZ67" i="31"/>
  <c r="AX68" i="31"/>
  <c r="AY68" i="31" s="1" a="1"/>
  <c r="AW69" i="31"/>
  <c r="BB67" i="31" l="1"/>
  <c r="AZ68" i="31"/>
  <c r="BA68" i="31"/>
  <c r="AX69" i="31"/>
  <c r="AY69" i="31" s="1" a="1"/>
  <c r="AW70" i="31"/>
  <c r="BB68" i="31" l="1"/>
  <c r="BA69" i="31"/>
  <c r="AZ69" i="31"/>
  <c r="AW71" i="31"/>
  <c r="AX70" i="31"/>
  <c r="AY70" i="31" s="1" a="1"/>
  <c r="BB69" i="31" l="1"/>
  <c r="BA70" i="31"/>
  <c r="AZ70" i="31"/>
  <c r="AX71" i="31"/>
  <c r="AY71" i="31" s="1" a="1"/>
  <c r="AW72" i="31"/>
  <c r="BB70" i="31" l="1"/>
  <c r="BA71" i="31"/>
  <c r="AZ71" i="31"/>
  <c r="AX72" i="31"/>
  <c r="AY72" i="31" s="1" a="1"/>
  <c r="AW73" i="31"/>
  <c r="BB71" i="31" l="1"/>
  <c r="BA72" i="31"/>
  <c r="AZ72" i="31"/>
  <c r="AX73" i="31"/>
  <c r="AY73" i="31" s="1" a="1"/>
  <c r="AZ6" i="31"/>
  <c r="BB72" i="31" l="1"/>
  <c r="AZ73" i="31"/>
  <c r="BA73" i="31"/>
  <c r="BB73" i="3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<sst xmlns="http://schemas.openxmlformats.org/spreadsheetml/2006/main" count="96" uniqueCount="77">
  <si>
    <t>Month</t>
  </si>
  <si>
    <t>Term (in Years)</t>
  </si>
  <si>
    <t>Total Months</t>
  </si>
  <si>
    <t>* For Educational Purposes Only</t>
  </si>
  <si>
    <t>SIP Gain</t>
  </si>
  <si>
    <t>Balance for SIP</t>
  </si>
  <si>
    <t>Goal Amount (Rs.)</t>
  </si>
  <si>
    <t>Quotient</t>
  </si>
  <si>
    <t>SIP Calculations for Document</t>
  </si>
  <si>
    <t>Remainder</t>
  </si>
  <si>
    <t>Calculated SIP</t>
  </si>
  <si>
    <t>Override SIP</t>
  </si>
  <si>
    <t>For Table in Doc</t>
  </si>
  <si>
    <t>Total SIPInvestment</t>
  </si>
  <si>
    <t>Expected Rate of Return (Percentage)</t>
  </si>
  <si>
    <t>Current Investment Value</t>
  </si>
  <si>
    <t>Capital Gains Tax Rate (Long Term Only)</t>
  </si>
  <si>
    <t>Tax</t>
  </si>
  <si>
    <t>Annual</t>
  </si>
  <si>
    <t>Lumpsum</t>
  </si>
  <si>
    <t>Monthly</t>
  </si>
  <si>
    <t>Year</t>
  </si>
  <si>
    <t>Months</t>
  </si>
  <si>
    <t>Current Investment</t>
  </si>
  <si>
    <t>Total Corpus</t>
  </si>
  <si>
    <t>Current SIP</t>
  </si>
  <si>
    <t>Monthly Payment</t>
  </si>
  <si>
    <t>Step-Up % per Year</t>
  </si>
  <si>
    <t>Current SIP Calculations</t>
  </si>
  <si>
    <t>SIP invested</t>
  </si>
  <si>
    <t>SIP Tax</t>
  </si>
  <si>
    <t>SIP Value</t>
  </si>
  <si>
    <t>SIP Corpus Value</t>
  </si>
  <si>
    <t>SIP Corpus Gain</t>
  </si>
  <si>
    <t>Goal Bal full term</t>
  </si>
  <si>
    <t>SIP Value at Goal Term</t>
  </si>
  <si>
    <t>Level 1 Calculations</t>
  </si>
  <si>
    <t>Montly SIP</t>
  </si>
  <si>
    <t>SIP Corpus</t>
  </si>
  <si>
    <t>Lumpsum Tax</t>
  </si>
  <si>
    <t>Gseek Calc</t>
  </si>
  <si>
    <t>FV</t>
  </si>
  <si>
    <t>Lumpsum Calculations</t>
  </si>
  <si>
    <t>SIP Calculations</t>
  </si>
  <si>
    <t>SIP Total Invested</t>
  </si>
  <si>
    <t>SIP Rate of Interest</t>
  </si>
  <si>
    <t>Option Lumpsum Value</t>
  </si>
  <si>
    <t>Level 2 Calculations</t>
  </si>
  <si>
    <t>Total SIP Corpus</t>
  </si>
  <si>
    <t>Step-Up SIP Invested:</t>
  </si>
  <si>
    <t>SU SIP Corpus</t>
  </si>
  <si>
    <t>Step-Up SIP Starting Amount</t>
  </si>
  <si>
    <t>Step-Up SIP Ending Amount</t>
  </si>
  <si>
    <t>Alternate Investment Options:</t>
  </si>
  <si>
    <t>SIP Term Years</t>
  </si>
  <si>
    <t>Balance Goal Amount:</t>
  </si>
  <si>
    <t>Investment Options:</t>
  </si>
  <si>
    <t>Investment Rate of Return</t>
  </si>
  <si>
    <t>Tax Rate at Maturity</t>
  </si>
  <si>
    <t>C.G. Tax</t>
  </si>
  <si>
    <t>Total Inv.</t>
  </si>
  <si>
    <t>Current Inv.</t>
  </si>
  <si>
    <t>Goal Calculator with Current Investments</t>
  </si>
  <si>
    <t>Check for Excess</t>
  </si>
  <si>
    <t>ErrorState</t>
  </si>
  <si>
    <r>
      <t xml:space="preserve">Lumpsum Investment Amount </t>
    </r>
    <r>
      <rPr>
        <b/>
        <sz val="10"/>
        <rFont val="Arial"/>
        <family val="2"/>
      </rPr>
      <t>AND</t>
    </r>
  </si>
  <si>
    <r>
      <t xml:space="preserve">Lumpsum Amount Required </t>
    </r>
    <r>
      <rPr>
        <b/>
        <sz val="10"/>
        <rFont val="Arial"/>
        <family val="2"/>
      </rPr>
      <t>OR</t>
    </r>
  </si>
  <si>
    <t>Total Current Corpus Value</t>
  </si>
  <si>
    <t>Corpus at Maturity (After Taxes)</t>
  </si>
  <si>
    <r>
      <t xml:space="preserve">Monthly SIP Investment Required </t>
    </r>
    <r>
      <rPr>
        <b/>
        <sz val="10"/>
        <color theme="4" tint="-0.499984740745262"/>
        <rFont val="Arial"/>
        <family val="2"/>
      </rPr>
      <t>OR</t>
    </r>
  </si>
  <si>
    <r>
      <t xml:space="preserve">SIP Amount Required per Month </t>
    </r>
    <r>
      <rPr>
        <b/>
        <sz val="10"/>
        <color theme="4" tint="-0.499984740745262"/>
        <rFont val="Arial"/>
        <family val="2"/>
      </rPr>
      <t>OR</t>
    </r>
  </si>
  <si>
    <t>Corpus Value</t>
  </si>
  <si>
    <t>Total Amount Invested</t>
  </si>
  <si>
    <t>Name:</t>
  </si>
  <si>
    <t>Age:</t>
  </si>
  <si>
    <t>Opinder Jain</t>
  </si>
  <si>
    <t>© Copyright Nivra Fintech LLC,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</si>
</sst>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₹&quot;\ #,##0;[Red]&quot;₹&quot;\ \-#,##0"/>
    <numFmt numFmtId="8" formatCode="&quot;₹&quot;\ #,##0.00;[Red]&quot;₹&quot;\ \-#,##0.00"/>
    <numFmt numFmtId="43" formatCode="_ * #,##0.00_ ;_ * \-#,##0.00_ ;_ * &quot;-&quot;??_ ;_ @_ "/>
    <numFmt numFmtId="164" formatCode="_ [$₹-4009]\ * #,##0_ ;_ [$₹-4009]\ * \-#,##0_ ;_ [$₹-4009]\ * &quot;-&quot;??_ ;_ @_ "/>
    <numFmt numFmtId="165" formatCode="_ &quot;₹&quot;\ * #,##0_ ;_ &quot;₹&quot;\ * \-#,##0_ ;_ &quot;₹&quot;\ * &quot;-&quot;??_ ;_ @_ "/>
    <numFmt numFmtId="166" formatCode="_ * #,##0_ ;_ * \-#,##0_ ;_ * &quot;-&quot;??_ ;_ @_ "/>
    <numFmt numFmtId="167" formatCode="#&quot;&quot;"/>
    <numFmt numFmtId="168" formatCode="&quot;₹&quot;\ #,##0"/>
  </numFmts>
  <fonts count="2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FFFF00"/>
      <name val="Arial"/>
      <family val="2"/>
    </font>
    <font>
      <b/>
      <sz val="10"/>
      <color rgb="FFFFFF00"/>
      <name val="Arial"/>
      <family val="2"/>
    </font>
    <font>
      <b/>
      <sz val="10"/>
      <color rgb="FF0070C0"/>
      <name val="Arial"/>
      <family val="2"/>
    </font>
    <font>
      <b/>
      <i/>
      <sz val="10"/>
      <color rgb="FFFF0000"/>
      <name val="Arial"/>
      <family val="2"/>
    </font>
    <font>
      <b/>
      <i/>
      <sz val="8"/>
      <color rgb="FFFF0000"/>
      <name val="Arial"/>
      <family val="2"/>
    </font>
    <font>
      <i/>
      <sz val="10"/>
      <name val="Arial"/>
      <family val="2"/>
    </font>
    <font>
      <b/>
      <sz val="14"/>
      <color theme="3" tint="-0.249977111117893"/>
      <name val="Arial"/>
      <family val="2"/>
    </font>
    <font>
      <sz val="10"/>
      <name val="Arial"/>
      <family val="2"/>
    </font>
    <font>
      <sz val="10"/>
      <color theme="7" tint="-0.499984740745262"/>
      <name val="Arial"/>
      <family val="2"/>
    </font>
    <font>
      <sz val="10"/>
      <color theme="6" tint="-0.499984740745262"/>
      <name val="Arial"/>
      <family val="2"/>
    </font>
    <font>
      <b/>
      <sz val="10"/>
      <color rgb="FF7030A0"/>
      <name val="Arial"/>
      <family val="2"/>
    </font>
    <font>
      <b/>
      <sz val="10"/>
      <color rgb="FFC00000"/>
      <name val="Arial"/>
      <family val="2"/>
    </font>
    <font>
      <sz val="10"/>
      <color theme="0"/>
      <name val="Arial"/>
      <family val="2"/>
    </font>
    <font>
      <sz val="10"/>
      <color rgb="FFC00000"/>
      <name val="Arial"/>
      <family val="2"/>
    </font>
    <font>
      <sz val="10"/>
      <color rgb="FFFF0000"/>
      <name val="Arial"/>
      <family val="2"/>
    </font>
    <font>
      <sz val="10"/>
      <color rgb="FF760000"/>
      <name val="Arial"/>
      <family val="2"/>
    </font>
    <font>
      <b/>
      <sz val="10"/>
      <color rgb="FF760000"/>
      <name val="Arial"/>
      <family val="2"/>
    </font>
    <font>
      <sz val="10"/>
      <color theme="4" tint="-0.499984740745262"/>
      <name val="Arial"/>
      <family val="2"/>
    </font>
    <font>
      <b/>
      <sz val="10"/>
      <color theme="4" tint="-0.499984740745262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DBA9"/>
        <bgColor indexed="64"/>
      </patternFill>
    </fill>
    <fill>
      <patternFill patternType="solid">
        <fgColor rgb="FF92B24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AE5EF"/>
        <bgColor indexed="64"/>
      </patternFill>
    </fill>
    <fill>
      <patternFill patternType="solid">
        <fgColor rgb="FFDAD2E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9FBB61"/>
        <bgColor indexed="64"/>
      </patternFill>
    </fill>
    <fill>
      <patternFill patternType="solid">
        <fgColor rgb="FFB6CB87"/>
        <bgColor indexed="64"/>
      </patternFill>
    </fill>
    <fill>
      <patternFill patternType="solid">
        <fgColor rgb="FFD9EAFF"/>
        <bgColor indexed="64"/>
      </patternFill>
    </fill>
    <fill>
      <patternFill patternType="solid">
        <fgColor rgb="FFB9D9FF"/>
        <bgColor indexed="64"/>
      </patternFill>
    </fill>
    <fill>
      <patternFill patternType="solid">
        <fgColor rgb="FFA3CDFF"/>
        <bgColor indexed="64"/>
      </patternFill>
    </fill>
    <fill>
      <patternFill patternType="solid">
        <fgColor rgb="FF8BBFFF"/>
        <bgColor indexed="64"/>
      </patternFill>
    </fill>
    <fill>
      <patternFill patternType="solid">
        <fgColor rgb="FF7DB8FF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5D2884"/>
        <bgColor indexed="64"/>
      </patternFill>
    </fill>
    <fill>
      <patternFill patternType="solid">
        <fgColor rgb="FF8F45C7"/>
        <bgColor indexed="64"/>
      </patternFill>
    </fill>
    <fill>
      <patternFill patternType="solid">
        <fgColor rgb="FFC5D79D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7" tint="0.79995117038483843"/>
      </left>
      <right/>
      <top style="thin">
        <color theme="7" tint="0.79998168889431442"/>
      </top>
      <bottom style="thin">
        <color theme="7" tint="0.79998168889431442"/>
      </bottom>
      <diagonal/>
    </border>
    <border>
      <left style="thin">
        <color theme="7" tint="0.79995117038483843"/>
      </left>
      <right/>
      <top style="thin">
        <color theme="7" tint="0.79998168889431442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9" fontId="10" fillId="0" borderId="0" applyFont="0" applyFill="0" applyBorder="0" applyAlignment="0" applyProtection="0"/>
  </cellStyleXfs>
  <cellXfs count="137">
    <xf numFmtId="0" fontId="0" fillId="0" borderId="0" xfId="0"/>
    <xf numFmtId="0" fontId="1" fillId="3" borderId="0" xfId="2" applyFill="1" applyAlignment="1" applyProtection="1">
      <alignment vertical="center"/>
      <protection hidden="1"/>
    </xf>
    <xf numFmtId="0" fontId="1" fillId="0" borderId="0" xfId="2" applyAlignment="1" applyProtection="1">
      <alignment vertical="center"/>
      <protection hidden="1"/>
    </xf>
    <xf numFmtId="0" fontId="1" fillId="0" borderId="0" xfId="2" applyAlignment="1" applyProtection="1">
      <alignment vertical="center"/>
      <protection locked="0"/>
    </xf>
    <xf numFmtId="167" fontId="1" fillId="0" borderId="0" xfId="2" applyNumberFormat="1" applyAlignment="1" applyProtection="1">
      <alignment vertical="center"/>
      <protection locked="0"/>
    </xf>
    <xf numFmtId="6" fontId="1" fillId="0" borderId="0" xfId="2" applyNumberFormat="1" applyAlignment="1" applyProtection="1">
      <alignment vertical="center"/>
      <protection locked="0"/>
    </xf>
    <xf numFmtId="0" fontId="3" fillId="5" borderId="1" xfId="2" applyFont="1" applyFill="1" applyBorder="1" applyAlignment="1" applyProtection="1">
      <alignment vertical="center"/>
      <protection hidden="1"/>
    </xf>
    <xf numFmtId="0" fontId="1" fillId="5" borderId="1" xfId="2" applyFill="1" applyBorder="1" applyAlignment="1" applyProtection="1">
      <alignment vertical="center"/>
      <protection hidden="1"/>
    </xf>
    <xf numFmtId="0" fontId="1" fillId="2" borderId="1" xfId="2" applyFill="1" applyBorder="1" applyAlignment="1" applyProtection="1">
      <alignment vertical="center"/>
      <protection locked="0"/>
    </xf>
    <xf numFmtId="10" fontId="1" fillId="2" borderId="1" xfId="2" applyNumberFormat="1" applyFill="1" applyBorder="1" applyAlignment="1" applyProtection="1">
      <alignment vertical="center"/>
      <protection locked="0"/>
    </xf>
    <xf numFmtId="0" fontId="5" fillId="0" borderId="0" xfId="2" applyFont="1" applyAlignment="1" applyProtection="1">
      <alignment vertical="center"/>
      <protection locked="0"/>
    </xf>
    <xf numFmtId="166" fontId="1" fillId="0" borderId="0" xfId="1" applyNumberFormat="1" applyAlignment="1" applyProtection="1">
      <alignment vertical="center"/>
      <protection locked="0"/>
    </xf>
    <xf numFmtId="0" fontId="2" fillId="0" borderId="0" xfId="2" applyFont="1" applyAlignment="1" applyProtection="1">
      <alignment vertical="center"/>
      <protection locked="0"/>
    </xf>
    <xf numFmtId="6" fontId="2" fillId="0" borderId="0" xfId="2" applyNumberFormat="1" applyFont="1" applyAlignment="1" applyProtection="1">
      <alignment vertical="center"/>
      <protection locked="0"/>
    </xf>
    <xf numFmtId="8" fontId="1" fillId="0" borderId="0" xfId="2" applyNumberFormat="1" applyAlignment="1" applyProtection="1">
      <alignment vertical="center"/>
      <protection locked="0"/>
    </xf>
    <xf numFmtId="0" fontId="7" fillId="0" borderId="0" xfId="2" applyFont="1" applyAlignment="1" applyProtection="1">
      <alignment vertical="center"/>
      <protection locked="0"/>
    </xf>
    <xf numFmtId="164" fontId="2" fillId="2" borderId="1" xfId="2" applyNumberFormat="1" applyFont="1" applyFill="1" applyBorder="1" applyAlignment="1" applyProtection="1">
      <alignment vertical="center"/>
      <protection locked="0"/>
    </xf>
    <xf numFmtId="2" fontId="1" fillId="0" borderId="0" xfId="2" applyNumberFormat="1" applyAlignment="1" applyProtection="1">
      <alignment vertical="center"/>
      <protection locked="0"/>
    </xf>
    <xf numFmtId="0" fontId="1" fillId="0" borderId="0" xfId="2" applyAlignment="1" applyProtection="1">
      <alignment horizontal="right" vertical="center"/>
      <protection locked="0"/>
    </xf>
    <xf numFmtId="0" fontId="1" fillId="8" borderId="0" xfId="2" applyFill="1" applyAlignment="1" applyProtection="1">
      <alignment vertical="center"/>
      <protection hidden="1"/>
    </xf>
    <xf numFmtId="0" fontId="1" fillId="9" borderId="0" xfId="2" applyFill="1" applyAlignment="1" applyProtection="1">
      <alignment vertical="center"/>
      <protection hidden="1"/>
    </xf>
    <xf numFmtId="0" fontId="1" fillId="5" borderId="0" xfId="2" applyFill="1" applyAlignment="1" applyProtection="1">
      <alignment vertical="center"/>
      <protection hidden="1"/>
    </xf>
    <xf numFmtId="0" fontId="15" fillId="5" borderId="1" xfId="2" applyFont="1" applyFill="1" applyBorder="1" applyAlignment="1" applyProtection="1">
      <alignment vertical="center"/>
      <protection hidden="1"/>
    </xf>
    <xf numFmtId="10" fontId="16" fillId="2" borderId="0" xfId="2" applyNumberFormat="1" applyFont="1" applyFill="1" applyAlignment="1" applyProtection="1">
      <alignment vertical="center"/>
      <protection locked="0"/>
    </xf>
    <xf numFmtId="6" fontId="17" fillId="0" borderId="0" xfId="2" applyNumberFormat="1" applyFont="1" applyAlignment="1" applyProtection="1">
      <alignment vertical="center"/>
      <protection locked="0"/>
    </xf>
    <xf numFmtId="0" fontId="17" fillId="0" borderId="0" xfId="2" applyFont="1" applyAlignment="1" applyProtection="1">
      <alignment vertical="center"/>
      <protection locked="0"/>
    </xf>
    <xf numFmtId="0" fontId="1" fillId="0" borderId="0" xfId="2" applyAlignment="1" applyProtection="1">
      <alignment horizontal="center" vertical="center"/>
      <protection locked="0"/>
    </xf>
    <xf numFmtId="0" fontId="1" fillId="6" borderId="0" xfId="2" applyFill="1" applyAlignment="1" applyProtection="1">
      <alignment vertical="center"/>
      <protection locked="0"/>
    </xf>
    <xf numFmtId="0" fontId="13" fillId="7" borderId="0" xfId="2" applyFont="1" applyFill="1" applyAlignment="1" applyProtection="1">
      <alignment vertical="center"/>
      <protection locked="0"/>
    </xf>
    <xf numFmtId="6" fontId="13" fillId="7" borderId="0" xfId="2" applyNumberFormat="1" applyFont="1" applyFill="1" applyAlignment="1" applyProtection="1">
      <alignment vertical="center"/>
      <protection locked="0"/>
    </xf>
    <xf numFmtId="6" fontId="17" fillId="7" borderId="0" xfId="2" applyNumberFormat="1" applyFont="1" applyFill="1" applyAlignment="1" applyProtection="1">
      <alignment vertical="center"/>
      <protection locked="0"/>
    </xf>
    <xf numFmtId="0" fontId="14" fillId="7" borderId="0" xfId="2" applyFont="1" applyFill="1" applyAlignment="1" applyProtection="1">
      <alignment vertical="center"/>
      <protection locked="0"/>
    </xf>
    <xf numFmtId="6" fontId="14" fillId="7" borderId="0" xfId="2" applyNumberFormat="1" applyFont="1" applyFill="1" applyAlignment="1" applyProtection="1">
      <alignment vertical="center"/>
      <protection locked="0"/>
    </xf>
    <xf numFmtId="0" fontId="1" fillId="7" borderId="0" xfId="2" applyFill="1" applyAlignment="1" applyProtection="1">
      <alignment vertical="center"/>
      <protection locked="0"/>
    </xf>
    <xf numFmtId="0" fontId="5" fillId="7" borderId="0" xfId="2" applyFont="1" applyFill="1" applyAlignment="1" applyProtection="1">
      <alignment vertical="center"/>
      <protection locked="0"/>
    </xf>
    <xf numFmtId="0" fontId="2" fillId="0" borderId="0" xfId="2" applyFont="1" applyAlignment="1" applyProtection="1">
      <alignment horizontal="center" vertical="center"/>
      <protection locked="0"/>
    </xf>
    <xf numFmtId="0" fontId="1" fillId="7" borderId="0" xfId="2" applyFill="1" applyAlignment="1" applyProtection="1">
      <alignment horizontal="center" vertical="center"/>
      <protection locked="0"/>
    </xf>
    <xf numFmtId="166" fontId="1" fillId="0" borderId="0" xfId="2" applyNumberFormat="1" applyAlignment="1" applyProtection="1">
      <alignment vertical="center"/>
      <protection locked="0"/>
    </xf>
    <xf numFmtId="6" fontId="1" fillId="7" borderId="0" xfId="2" applyNumberFormat="1" applyFill="1" applyAlignment="1" applyProtection="1">
      <alignment vertical="center"/>
      <protection locked="0"/>
    </xf>
    <xf numFmtId="10" fontId="12" fillId="2" borderId="2" xfId="3" applyNumberFormat="1" applyFont="1" applyFill="1" applyBorder="1" applyAlignment="1" applyProtection="1">
      <alignment vertical="center"/>
      <protection locked="0"/>
    </xf>
    <xf numFmtId="10" fontId="16" fillId="2" borderId="2" xfId="3" applyNumberFormat="1" applyFont="1" applyFill="1" applyBorder="1" applyAlignment="1" applyProtection="1">
      <alignment vertical="center"/>
      <protection locked="0"/>
    </xf>
    <xf numFmtId="0" fontId="8" fillId="0" borderId="0" xfId="2" applyFont="1" applyAlignment="1" applyProtection="1">
      <alignment vertical="center"/>
      <protection hidden="1"/>
    </xf>
    <xf numFmtId="0" fontId="1" fillId="10" borderId="0" xfId="2" applyFill="1" applyAlignment="1" applyProtection="1">
      <alignment vertical="center"/>
      <protection locked="0"/>
    </xf>
    <xf numFmtId="0" fontId="2" fillId="10" borderId="0" xfId="2" applyFont="1" applyFill="1" applyAlignment="1" applyProtection="1">
      <alignment vertical="center"/>
      <protection locked="0"/>
    </xf>
    <xf numFmtId="2" fontId="1" fillId="7" borderId="0" xfId="2" applyNumberFormat="1" applyFill="1" applyAlignment="1" applyProtection="1">
      <alignment vertical="center"/>
      <protection locked="0"/>
    </xf>
    <xf numFmtId="0" fontId="0" fillId="7" borderId="0" xfId="0" applyFill="1" applyAlignment="1" applyProtection="1">
      <alignment vertical="center"/>
      <protection hidden="1"/>
    </xf>
    <xf numFmtId="0" fontId="2" fillId="7" borderId="0" xfId="2" applyFont="1" applyFill="1" applyAlignment="1" applyProtection="1">
      <alignment vertical="center"/>
      <protection hidden="1"/>
    </xf>
    <xf numFmtId="0" fontId="2" fillId="7" borderId="0" xfId="2" applyFont="1" applyFill="1" applyAlignment="1" applyProtection="1">
      <alignment horizontal="center" vertical="center"/>
      <protection locked="0"/>
    </xf>
    <xf numFmtId="0" fontId="2" fillId="7" borderId="0" xfId="2" applyFont="1" applyFill="1" applyAlignment="1" applyProtection="1">
      <alignment vertical="center"/>
      <protection locked="0"/>
    </xf>
    <xf numFmtId="1" fontId="1" fillId="6" borderId="0" xfId="2" applyNumberFormat="1" applyFill="1" applyAlignment="1" applyProtection="1">
      <alignment vertical="center"/>
      <protection locked="0"/>
    </xf>
    <xf numFmtId="1" fontId="1" fillId="6" borderId="3" xfId="2" applyNumberFormat="1" applyFill="1" applyBorder="1" applyAlignment="1" applyProtection="1">
      <alignment vertical="center"/>
      <protection locked="0"/>
    </xf>
    <xf numFmtId="0" fontId="2" fillId="6" borderId="4" xfId="2" applyFont="1" applyFill="1" applyBorder="1" applyAlignment="1" applyProtection="1">
      <alignment vertical="center"/>
      <protection locked="0"/>
    </xf>
    <xf numFmtId="8" fontId="1" fillId="4" borderId="0" xfId="2" applyNumberFormat="1" applyFill="1" applyAlignment="1" applyProtection="1">
      <alignment vertical="center"/>
      <protection locked="0"/>
    </xf>
    <xf numFmtId="0" fontId="1" fillId="6" borderId="3" xfId="2" applyFill="1" applyBorder="1" applyAlignment="1" applyProtection="1">
      <alignment vertical="center"/>
      <protection locked="0"/>
    </xf>
    <xf numFmtId="0" fontId="7" fillId="6" borderId="3" xfId="2" applyFont="1" applyFill="1" applyBorder="1" applyAlignment="1" applyProtection="1">
      <alignment vertical="center"/>
      <protection locked="0"/>
    </xf>
    <xf numFmtId="8" fontId="1" fillId="12" borderId="0" xfId="2" applyNumberFormat="1" applyFill="1" applyAlignment="1" applyProtection="1">
      <alignment vertical="center"/>
      <protection hidden="1"/>
    </xf>
    <xf numFmtId="6" fontId="1" fillId="14" borderId="0" xfId="2" applyNumberFormat="1" applyFill="1" applyAlignment="1" applyProtection="1">
      <alignment vertical="center"/>
      <protection hidden="1"/>
    </xf>
    <xf numFmtId="9" fontId="1" fillId="2" borderId="0" xfId="2" applyNumberFormat="1" applyFill="1" applyAlignment="1" applyProtection="1">
      <alignment vertical="center"/>
      <protection locked="0"/>
    </xf>
    <xf numFmtId="6" fontId="16" fillId="14" borderId="0" xfId="2" applyNumberFormat="1" applyFont="1" applyFill="1" applyAlignment="1" applyProtection="1">
      <alignment vertical="center"/>
      <protection hidden="1"/>
    </xf>
    <xf numFmtId="6" fontId="1" fillId="6" borderId="0" xfId="2" applyNumberFormat="1" applyFill="1" applyAlignment="1" applyProtection="1">
      <alignment vertical="center"/>
      <protection locked="0"/>
    </xf>
    <xf numFmtId="0" fontId="3" fillId="10" borderId="0" xfId="2" applyFont="1" applyFill="1" applyAlignment="1" applyProtection="1">
      <alignment vertical="center"/>
      <protection locked="0"/>
    </xf>
    <xf numFmtId="6" fontId="3" fillId="10" borderId="0" xfId="2" applyNumberFormat="1" applyFont="1" applyFill="1" applyAlignment="1" applyProtection="1">
      <alignment vertical="center"/>
      <protection locked="0"/>
    </xf>
    <xf numFmtId="0" fontId="1" fillId="2" borderId="0" xfId="2" applyFill="1" applyAlignment="1" applyProtection="1">
      <alignment vertical="center"/>
      <protection locked="0"/>
    </xf>
    <xf numFmtId="2" fontId="1" fillId="0" borderId="0" xfId="2" applyNumberFormat="1" applyAlignment="1" applyProtection="1">
      <alignment horizontal="center" vertical="center"/>
      <protection locked="0"/>
    </xf>
    <xf numFmtId="2" fontId="1" fillId="6" borderId="0" xfId="2" applyNumberFormat="1" applyFill="1" applyAlignment="1" applyProtection="1">
      <alignment vertical="center"/>
      <protection locked="0"/>
    </xf>
    <xf numFmtId="0" fontId="3" fillId="15" borderId="0" xfId="2" applyFont="1" applyFill="1" applyAlignment="1" applyProtection="1">
      <alignment vertical="center"/>
      <protection hidden="1"/>
    </xf>
    <xf numFmtId="0" fontId="1" fillId="16" borderId="0" xfId="2" applyFill="1" applyAlignment="1" applyProtection="1">
      <alignment vertical="center"/>
      <protection hidden="1"/>
    </xf>
    <xf numFmtId="0" fontId="1" fillId="17" borderId="0" xfId="2" applyFill="1" applyAlignment="1" applyProtection="1">
      <alignment vertical="center"/>
      <protection hidden="1"/>
    </xf>
    <xf numFmtId="0" fontId="4" fillId="5" borderId="1" xfId="2" applyFont="1" applyFill="1" applyBorder="1" applyAlignment="1" applyProtection="1">
      <alignment vertical="center"/>
      <protection hidden="1"/>
    </xf>
    <xf numFmtId="164" fontId="4" fillId="5" borderId="1" xfId="2" applyNumberFormat="1" applyFont="1" applyFill="1" applyBorder="1" applyAlignment="1" applyProtection="1">
      <alignment vertical="center"/>
      <protection hidden="1"/>
    </xf>
    <xf numFmtId="0" fontId="4" fillId="18" borderId="0" xfId="2" applyFont="1" applyFill="1" applyAlignment="1" applyProtection="1">
      <alignment vertical="center"/>
      <protection hidden="1"/>
    </xf>
    <xf numFmtId="6" fontId="4" fillId="18" borderId="0" xfId="2" applyNumberFormat="1" applyFont="1" applyFill="1" applyAlignment="1" applyProtection="1">
      <alignment vertical="center"/>
      <protection hidden="1"/>
    </xf>
    <xf numFmtId="0" fontId="3" fillId="18" borderId="0" xfId="2" applyFont="1" applyFill="1" applyAlignment="1" applyProtection="1">
      <alignment vertical="center"/>
      <protection hidden="1"/>
    </xf>
    <xf numFmtId="6" fontId="16" fillId="19" borderId="0" xfId="2" applyNumberFormat="1" applyFont="1" applyFill="1" applyAlignment="1" applyProtection="1">
      <alignment vertical="center"/>
      <protection hidden="1"/>
    </xf>
    <xf numFmtId="0" fontId="2" fillId="3" borderId="0" xfId="2" applyFont="1" applyFill="1" applyAlignment="1" applyProtection="1">
      <alignment horizontal="center" vertical="center"/>
      <protection hidden="1"/>
    </xf>
    <xf numFmtId="164" fontId="2" fillId="12" borderId="0" xfId="2" applyNumberFormat="1" applyFont="1" applyFill="1" applyAlignment="1" applyProtection="1">
      <alignment vertical="center"/>
      <protection hidden="1"/>
    </xf>
    <xf numFmtId="164" fontId="4" fillId="15" borderId="0" xfId="2" applyNumberFormat="1" applyFont="1" applyFill="1" applyAlignment="1" applyProtection="1">
      <alignment vertical="center"/>
      <protection hidden="1"/>
    </xf>
    <xf numFmtId="164" fontId="16" fillId="20" borderId="0" xfId="2" applyNumberFormat="1" applyFont="1" applyFill="1" applyAlignment="1" applyProtection="1">
      <alignment vertical="center"/>
      <protection hidden="1"/>
    </xf>
    <xf numFmtId="164" fontId="16" fillId="12" borderId="0" xfId="2" applyNumberFormat="1" applyFont="1" applyFill="1" applyAlignment="1" applyProtection="1">
      <alignment vertical="center"/>
      <protection hidden="1"/>
    </xf>
    <xf numFmtId="164" fontId="16" fillId="13" borderId="0" xfId="1" applyNumberFormat="1" applyFont="1" applyFill="1" applyAlignment="1" applyProtection="1">
      <alignment vertical="center"/>
      <protection hidden="1"/>
    </xf>
    <xf numFmtId="164" fontId="11" fillId="2" borderId="2" xfId="1" applyNumberFormat="1" applyFont="1" applyFill="1" applyBorder="1" applyAlignment="1" applyProtection="1">
      <alignment vertical="center"/>
      <protection locked="0"/>
    </xf>
    <xf numFmtId="0" fontId="4" fillId="18" borderId="0" xfId="2" applyFont="1" applyFill="1" applyAlignment="1" applyProtection="1">
      <alignment horizontal="center" vertical="center"/>
      <protection hidden="1"/>
    </xf>
    <xf numFmtId="0" fontId="1" fillId="21" borderId="0" xfId="2" applyFill="1" applyAlignment="1" applyProtection="1">
      <alignment vertical="center"/>
      <protection hidden="1"/>
    </xf>
    <xf numFmtId="6" fontId="1" fillId="21" borderId="0" xfId="2" applyNumberFormat="1" applyFill="1" applyAlignment="1" applyProtection="1">
      <alignment vertical="center"/>
      <protection hidden="1"/>
    </xf>
    <xf numFmtId="164" fontId="16" fillId="21" borderId="0" xfId="2" applyNumberFormat="1" applyFont="1" applyFill="1" applyAlignment="1" applyProtection="1">
      <alignment vertical="center"/>
      <protection hidden="1"/>
    </xf>
    <xf numFmtId="6" fontId="1" fillId="23" borderId="0" xfId="2" applyNumberFormat="1" applyFill="1" applyAlignment="1" applyProtection="1">
      <alignment vertical="center"/>
      <protection hidden="1"/>
    </xf>
    <xf numFmtId="6" fontId="16" fillId="23" borderId="0" xfId="2" applyNumberFormat="1" applyFont="1" applyFill="1" applyAlignment="1" applyProtection="1">
      <alignment vertical="center"/>
      <protection hidden="1"/>
    </xf>
    <xf numFmtId="6" fontId="16" fillId="24" borderId="0" xfId="2" applyNumberFormat="1" applyFont="1" applyFill="1" applyAlignment="1" applyProtection="1">
      <alignment vertical="center"/>
      <protection hidden="1"/>
    </xf>
    <xf numFmtId="164" fontId="16" fillId="25" borderId="0" xfId="2" applyNumberFormat="1" applyFont="1" applyFill="1" applyAlignment="1" applyProtection="1">
      <alignment vertical="center"/>
      <protection hidden="1"/>
    </xf>
    <xf numFmtId="0" fontId="15" fillId="15" borderId="0" xfId="2" applyFont="1" applyFill="1" applyAlignment="1" applyProtection="1">
      <alignment vertical="center"/>
      <protection hidden="1"/>
    </xf>
    <xf numFmtId="0" fontId="0" fillId="0" borderId="0" xfId="0" applyAlignment="1">
      <alignment vertical="center"/>
    </xf>
    <xf numFmtId="1" fontId="0" fillId="7" borderId="0" xfId="0" applyNumberFormat="1" applyFill="1" applyAlignment="1" applyProtection="1">
      <alignment horizontal="left" vertical="center"/>
      <protection hidden="1"/>
    </xf>
    <xf numFmtId="6" fontId="7" fillId="6" borderId="4" xfId="2" applyNumberFormat="1" applyFont="1" applyFill="1" applyBorder="1" applyAlignment="1" applyProtection="1">
      <alignment vertical="center"/>
      <protection locked="0"/>
    </xf>
    <xf numFmtId="6" fontId="1" fillId="6" borderId="4" xfId="2" applyNumberFormat="1" applyFill="1" applyBorder="1" applyAlignment="1" applyProtection="1">
      <alignment vertical="center"/>
      <protection locked="0"/>
    </xf>
    <xf numFmtId="0" fontId="1" fillId="0" borderId="0" xfId="0" applyFont="1" applyAlignment="1">
      <alignment vertical="center"/>
    </xf>
    <xf numFmtId="164" fontId="16" fillId="22" borderId="0" xfId="1" applyNumberFormat="1" applyFont="1" applyFill="1" applyAlignment="1" applyProtection="1">
      <alignment vertical="center"/>
      <protection hidden="1"/>
    </xf>
    <xf numFmtId="164" fontId="2" fillId="2" borderId="0" xfId="2" applyNumberFormat="1" applyFont="1" applyFill="1" applyAlignment="1" applyProtection="1">
      <alignment vertical="center"/>
      <protection locked="0"/>
    </xf>
    <xf numFmtId="164" fontId="11" fillId="26" borderId="6" xfId="1" applyNumberFormat="1" applyFont="1" applyFill="1" applyBorder="1" applyAlignment="1" applyProtection="1">
      <alignment vertical="center"/>
      <protection locked="0"/>
    </xf>
    <xf numFmtId="10" fontId="12" fillId="26" borderId="6" xfId="3" applyNumberFormat="1" applyFont="1" applyFill="1" applyBorder="1" applyAlignment="1" applyProtection="1">
      <alignment vertical="center"/>
      <protection locked="0"/>
    </xf>
    <xf numFmtId="10" fontId="16" fillId="26" borderId="6" xfId="3" applyNumberFormat="1" applyFont="1" applyFill="1" applyBorder="1" applyAlignment="1" applyProtection="1">
      <alignment vertical="center"/>
      <protection locked="0"/>
    </xf>
    <xf numFmtId="0" fontId="6" fillId="21" borderId="0" xfId="2" applyFont="1" applyFill="1" applyAlignment="1" applyProtection="1">
      <alignment vertical="center"/>
      <protection hidden="1"/>
    </xf>
    <xf numFmtId="0" fontId="8" fillId="21" borderId="0" xfId="2" applyFont="1" applyFill="1" applyAlignment="1" applyProtection="1">
      <alignment vertical="center"/>
      <protection hidden="1"/>
    </xf>
    <xf numFmtId="166" fontId="12" fillId="26" borderId="7" xfId="1" applyNumberFormat="1" applyFont="1" applyFill="1" applyBorder="1" applyAlignment="1" applyProtection="1">
      <alignment vertical="center"/>
      <protection locked="0"/>
    </xf>
    <xf numFmtId="0" fontId="4" fillId="15" borderId="0" xfId="2" applyFont="1" applyFill="1" applyAlignment="1" applyProtection="1">
      <alignment horizontal="center" vertical="center"/>
      <protection hidden="1"/>
    </xf>
    <xf numFmtId="0" fontId="4" fillId="27" borderId="0" xfId="2" applyFont="1" applyFill="1" applyAlignment="1" applyProtection="1">
      <alignment vertical="center"/>
      <protection hidden="1"/>
    </xf>
    <xf numFmtId="0" fontId="1" fillId="12" borderId="0" xfId="2" applyFill="1" applyAlignment="1" applyProtection="1">
      <alignment vertical="center"/>
      <protection hidden="1"/>
    </xf>
    <xf numFmtId="0" fontId="18" fillId="14" borderId="0" xfId="2" applyFont="1" applyFill="1" applyAlignment="1" applyProtection="1">
      <alignment vertical="center"/>
      <protection hidden="1"/>
    </xf>
    <xf numFmtId="0" fontId="18" fillId="19" borderId="0" xfId="2" applyFont="1" applyFill="1" applyAlignment="1" applyProtection="1">
      <alignment vertical="center"/>
      <protection hidden="1"/>
    </xf>
    <xf numFmtId="0" fontId="18" fillId="20" borderId="0" xfId="2" applyFont="1" applyFill="1" applyAlignment="1" applyProtection="1">
      <alignment vertical="center"/>
      <protection hidden="1"/>
    </xf>
    <xf numFmtId="164" fontId="19" fillId="19" borderId="0" xfId="2" applyNumberFormat="1" applyFont="1" applyFill="1" applyAlignment="1" applyProtection="1">
      <alignment vertical="center"/>
      <protection hidden="1"/>
    </xf>
    <xf numFmtId="6" fontId="18" fillId="19" borderId="0" xfId="2" applyNumberFormat="1" applyFont="1" applyFill="1" applyAlignment="1" applyProtection="1">
      <alignment vertical="center"/>
      <protection hidden="1"/>
    </xf>
    <xf numFmtId="164" fontId="19" fillId="20" borderId="0" xfId="2" applyNumberFormat="1" applyFont="1" applyFill="1" applyAlignment="1" applyProtection="1">
      <alignment vertical="center"/>
      <protection hidden="1"/>
    </xf>
    <xf numFmtId="164" fontId="18" fillId="20" borderId="0" xfId="2" applyNumberFormat="1" applyFont="1" applyFill="1" applyAlignment="1" applyProtection="1">
      <alignment vertical="center"/>
      <protection hidden="1"/>
    </xf>
    <xf numFmtId="0" fontId="18" fillId="23" borderId="0" xfId="2" applyFont="1" applyFill="1" applyAlignment="1" applyProtection="1">
      <alignment vertical="center"/>
      <protection hidden="1"/>
    </xf>
    <xf numFmtId="0" fontId="18" fillId="24" borderId="0" xfId="2" applyFont="1" applyFill="1" applyAlignment="1" applyProtection="1">
      <alignment vertical="center"/>
      <protection hidden="1"/>
    </xf>
    <xf numFmtId="0" fontId="18" fillId="25" borderId="0" xfId="2" applyFont="1" applyFill="1" applyAlignment="1" applyProtection="1">
      <alignment vertical="center"/>
      <protection hidden="1"/>
    </xf>
    <xf numFmtId="164" fontId="19" fillId="24" borderId="0" xfId="2" applyNumberFormat="1" applyFont="1" applyFill="1" applyAlignment="1" applyProtection="1">
      <alignment vertical="center"/>
      <protection hidden="1"/>
    </xf>
    <xf numFmtId="6" fontId="18" fillId="24" borderId="0" xfId="2" applyNumberFormat="1" applyFont="1" applyFill="1" applyAlignment="1" applyProtection="1">
      <alignment vertical="center"/>
      <protection hidden="1"/>
    </xf>
    <xf numFmtId="164" fontId="19" fillId="25" borderId="0" xfId="2" applyNumberFormat="1" applyFont="1" applyFill="1" applyAlignment="1" applyProtection="1">
      <alignment vertical="center"/>
      <protection hidden="1"/>
    </xf>
    <xf numFmtId="164" fontId="18" fillId="25" borderId="0" xfId="2" applyNumberFormat="1" applyFont="1" applyFill="1" applyAlignment="1" applyProtection="1">
      <alignment vertical="center"/>
      <protection hidden="1"/>
    </xf>
    <xf numFmtId="0" fontId="20" fillId="22" borderId="0" xfId="2" applyFont="1" applyFill="1" applyAlignment="1" applyProtection="1">
      <alignment vertical="center"/>
      <protection hidden="1"/>
    </xf>
    <xf numFmtId="164" fontId="21" fillId="22" borderId="0" xfId="2" applyNumberFormat="1" applyFont="1" applyFill="1" applyAlignment="1" applyProtection="1">
      <alignment vertical="center"/>
      <protection hidden="1"/>
    </xf>
    <xf numFmtId="164" fontId="20" fillId="22" borderId="0" xfId="1" applyNumberFormat="1" applyFont="1" applyFill="1" applyAlignment="1" applyProtection="1">
      <alignment vertical="center"/>
      <protection hidden="1"/>
    </xf>
    <xf numFmtId="0" fontId="20" fillId="13" borderId="0" xfId="2" applyFont="1" applyFill="1" applyAlignment="1" applyProtection="1">
      <alignment vertical="center"/>
      <protection hidden="1"/>
    </xf>
    <xf numFmtId="164" fontId="21" fillId="13" borderId="0" xfId="2" applyNumberFormat="1" applyFont="1" applyFill="1" applyAlignment="1" applyProtection="1">
      <alignment vertical="center"/>
      <protection hidden="1"/>
    </xf>
    <xf numFmtId="164" fontId="20" fillId="13" borderId="0" xfId="1" applyNumberFormat="1" applyFont="1" applyFill="1" applyAlignment="1" applyProtection="1">
      <alignment vertical="center"/>
      <protection hidden="1"/>
    </xf>
    <xf numFmtId="164" fontId="1" fillId="4" borderId="0" xfId="2" applyNumberFormat="1" applyFill="1" applyAlignment="1">
      <alignment vertical="center"/>
    </xf>
    <xf numFmtId="0" fontId="3" fillId="28" borderId="0" xfId="2" applyFont="1" applyFill="1" applyAlignment="1" applyProtection="1">
      <alignment vertical="center"/>
      <protection hidden="1"/>
    </xf>
    <xf numFmtId="164" fontId="4" fillId="28" borderId="0" xfId="2" applyNumberFormat="1" applyFont="1" applyFill="1" applyAlignment="1" applyProtection="1">
      <alignment vertical="center"/>
      <protection hidden="1"/>
    </xf>
    <xf numFmtId="165" fontId="1" fillId="12" borderId="0" xfId="2" applyNumberFormat="1" applyFill="1" applyAlignment="1" applyProtection="1">
      <alignment vertical="center"/>
      <protection hidden="1"/>
    </xf>
    <xf numFmtId="165" fontId="1" fillId="21" borderId="0" xfId="2" applyNumberFormat="1" applyFill="1" applyAlignment="1" applyProtection="1">
      <alignment vertical="center"/>
      <protection hidden="1"/>
    </xf>
    <xf numFmtId="0" fontId="9" fillId="2" borderId="0" xfId="2" applyFont="1" applyFill="1" applyAlignment="1" applyProtection="1">
      <alignment horizontal="right" vertical="center"/>
      <protection hidden="1"/>
    </xf>
    <xf numFmtId="0" fontId="1" fillId="2" borderId="0" xfId="2" applyFill="1" applyAlignment="1" applyProtection="1">
      <alignment horizontal="center" vertical="center"/>
      <protection hidden="1"/>
    </xf>
    <xf numFmtId="0" fontId="2" fillId="29" borderId="0" xfId="2" applyFont="1" applyFill="1" applyAlignment="1" applyProtection="1">
      <alignment horizontal="right" vertical="center" indent="1"/>
      <protection hidden="1"/>
    </xf>
    <xf numFmtId="0" fontId="15" fillId="11" borderId="5" xfId="2" applyFont="1" applyFill="1" applyBorder="1" applyAlignment="1" applyProtection="1">
      <alignment horizontal="center" vertical="center"/>
      <protection locked="0"/>
    </xf>
    <xf numFmtId="168" fontId="4" fillId="27" borderId="0" xfId="2" applyNumberFormat="1" applyFont="1" applyFill="1" applyAlignment="1" applyProtection="1">
      <alignment horizontal="center" vertical="center"/>
      <protection hidden="1"/>
    </xf>
    <xf numFmtId="0" fontId="9" fillId="3" borderId="0" xfId="2" applyFont="1" applyFill="1" applyAlignment="1" applyProtection="1">
      <alignment horizontal="right" vertical="center"/>
      <protection hidden="1"/>
    </xf>
  </cellXfs>
  <cellStyles count="4">
    <cellStyle name="Comma" xfId="1" builtinId="3"/>
    <cellStyle name="Normal" xfId="0" builtinId="0"/>
    <cellStyle name="Normal 2" xfId="2" xr:uid="{00000000-0005-0000-0000-000003000000}"/>
    <cellStyle name="Percent" xfId="3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5D79D"/>
      <color rgb="FF8F45C7"/>
      <color rgb="FF760000"/>
      <color rgb="FF5D2884"/>
      <color rgb="FFD9EAFF"/>
      <color rgb="FFB7CE84"/>
      <color rgb="FFF7FBFF"/>
      <color rgb="FF7DB8FF"/>
      <color rgb="FF8BBFFF"/>
      <color rgb="FFA3C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220980</xdr:colOff>
          <xdr:row>3</xdr:row>
          <xdr:rowOff>53340</xdr:rowOff>
        </xdr:from>
        <xdr:to>
          <xdr:col>4</xdr:col>
          <xdr:colOff>502920</xdr:colOff>
          <xdr:row>4</xdr:row>
          <xdr:rowOff>160020</xdr:rowOff>
        </xdr:to>
        <xdr:sp macro="" textlink="">
          <xdr:nvSpPr>
            <xdr:cNvPr id="15302" name="btnPrint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0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</xdr:col>
      <xdr:colOff>30480</xdr:colOff>
      <xdr:row>0</xdr:row>
      <xdr:rowOff>22860</xdr:rowOff>
    </xdr:from>
    <xdr:to>
      <xdr:col>1</xdr:col>
      <xdr:colOff>1457613</xdr:colOff>
      <xdr:row>0</xdr:row>
      <xdr:rowOff>444692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B8E2F4C-9578-4160-98C9-E548F310E35A}"/>
            </a:ext>
          </a:extLst>
        </xdr:cNvPr>
        <xdr:cNvGrpSpPr/>
      </xdr:nvGrpSpPr>
      <xdr:grpSpPr>
        <a:xfrm>
          <a:off x="373380" y="22860"/>
          <a:ext cx="1427133" cy="421832"/>
          <a:chOff x="220134" y="42333"/>
          <a:chExt cx="1427133" cy="421832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18E7A83D-62B7-7301-8704-6679A99F9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134" y="42333"/>
            <a:ext cx="423333" cy="421832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768674E3-E83C-EEDD-3546-350DC1EE2A3C}"/>
              </a:ext>
            </a:extLst>
          </xdr:cNvPr>
          <xdr:cNvSpPr/>
        </xdr:nvSpPr>
        <xdr:spPr>
          <a:xfrm>
            <a:off x="567267" y="152399"/>
            <a:ext cx="1080000" cy="270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rgbClr val="AA9B28"/>
                </a:solidFill>
              </a:rPr>
              <a:t>NIVRA</a:t>
            </a:r>
            <a:r>
              <a:rPr lang="en-US" sz="1100" baseline="0">
                <a:solidFill>
                  <a:srgbClr val="AA9B28"/>
                </a:solidFill>
              </a:rPr>
              <a:t> FINTECH</a:t>
            </a:r>
            <a:endParaRPr lang="en-US" sz="1100">
              <a:solidFill>
                <a:srgbClr val="AA9B28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8046-C80C-4DBF-9EC7-9ADC28C93AD3}">
  <sheetPr codeName="GoalCalc">
    <tabColor theme="7" tint="-0.249977111117893"/>
  </sheetPr>
  <dimension ref="A1:BE920"/>
  <sheetViews>
    <sheetView showGridLines="0" tabSelected="1" topLeftCell="A4" zoomScaleNormal="100" workbookViewId="0">
      <selection activeCell="C4" sqref="C4"/>
    </sheetView>
  </sheetViews>
  <sheetFormatPr defaultColWidth="0" defaultRowHeight="13.2" zeroHeight="1" x14ac:dyDescent="0.25"/>
  <cols>
    <col min="1" max="1" width="5" style="2" customWidth="1"/>
    <col min="2" max="2" width="37.33203125" style="2" customWidth="1"/>
    <col min="3" max="3" width="16.109375" style="2" customWidth="1"/>
    <col min="4" max="4" width="14.77734375" style="2" customWidth="1"/>
    <col min="5" max="5" width="16.6640625" style="2" customWidth="1"/>
    <col min="6" max="6" width="14.109375" style="2" customWidth="1"/>
    <col min="7" max="7" width="5.109375" style="2" customWidth="1"/>
    <col min="8" max="9" width="5.88671875" style="2" hidden="1" customWidth="1"/>
    <col min="10" max="12" width="4.109375" style="2" hidden="1" customWidth="1"/>
    <col min="13" max="13" width="5.44140625" style="41" hidden="1" customWidth="1"/>
    <col min="14" max="14" width="21.33203125" style="3" hidden="1" customWidth="1"/>
    <col min="15" max="15" width="13.33203125" style="3" hidden="1" customWidth="1"/>
    <col min="16" max="16" width="12" style="3" hidden="1" customWidth="1"/>
    <col min="17" max="17" width="14.88671875" style="3" hidden="1" customWidth="1"/>
    <col min="18" max="18" width="16.88671875" style="3" hidden="1" customWidth="1"/>
    <col min="19" max="19" width="21.109375" style="3" hidden="1" customWidth="1"/>
    <col min="20" max="21" width="10.109375" style="3" hidden="1" customWidth="1"/>
    <col min="22" max="22" width="4" style="3" hidden="1" customWidth="1"/>
    <col min="23" max="23" width="23.5546875" style="3" hidden="1" customWidth="1"/>
    <col min="24" max="24" width="14.88671875" style="3" hidden="1" customWidth="1"/>
    <col min="25" max="25" width="15.33203125" style="3" hidden="1" customWidth="1"/>
    <col min="26" max="26" width="9.109375" style="3" hidden="1" customWidth="1"/>
    <col min="27" max="27" width="16.88671875" style="3" hidden="1" customWidth="1"/>
    <col min="28" max="28" width="17.6640625" style="3" hidden="1" customWidth="1"/>
    <col min="29" max="29" width="15.5546875" style="3" hidden="1" customWidth="1"/>
    <col min="30" max="30" width="15.109375" style="3" hidden="1" customWidth="1"/>
    <col min="31" max="32" width="11.77734375" style="3" hidden="1" customWidth="1"/>
    <col min="33" max="33" width="12.21875" style="3" hidden="1" customWidth="1"/>
    <col min="34" max="34" width="11.77734375" style="3" hidden="1" customWidth="1"/>
    <col min="35" max="35" width="3" style="3" hidden="1" customWidth="1"/>
    <col min="36" max="36" width="2" style="3" hidden="1" customWidth="1"/>
    <col min="37" max="37" width="12" style="3" hidden="1" customWidth="1"/>
    <col min="38" max="40" width="9.109375" style="3" hidden="1" customWidth="1"/>
    <col min="41" max="41" width="11.21875" style="3" hidden="1" customWidth="1"/>
    <col min="42" max="42" width="12" style="3" hidden="1" customWidth="1"/>
    <col min="43" max="43" width="9.109375" style="3" hidden="1" customWidth="1"/>
    <col min="44" max="44" width="13.33203125" style="3" hidden="1" customWidth="1"/>
    <col min="45" max="45" width="10.5546875" style="3" hidden="1" customWidth="1"/>
    <col min="46" max="46" width="9.109375" style="3" hidden="1" customWidth="1"/>
    <col min="47" max="47" width="10.6640625" style="3" hidden="1" customWidth="1"/>
    <col min="48" max="48" width="9.109375" style="3" hidden="1" customWidth="1"/>
    <col min="49" max="49" width="13.33203125" style="26" hidden="1" customWidth="1"/>
    <col min="50" max="50" width="12.5546875" style="26" hidden="1" customWidth="1"/>
    <col min="51" max="51" width="12.77734375" style="3" hidden="1" customWidth="1"/>
    <col min="52" max="52" width="16.109375" style="3" hidden="1" customWidth="1"/>
    <col min="53" max="53" width="11.77734375" style="3" hidden="1" customWidth="1"/>
    <col min="54" max="54" width="12.33203125" style="3" hidden="1" customWidth="1"/>
    <col min="55" max="56" width="9.109375" style="3" hidden="1" customWidth="1"/>
    <col min="57" max="16384" width="8.88671875" style="3" hidden="1"/>
  </cols>
  <sheetData>
    <row r="1" spans="1:56" ht="38.4" customHeight="1" x14ac:dyDescent="0.25">
      <c r="A1" s="1"/>
      <c r="B1" s="136" t="s">
        <v>62</v>
      </c>
      <c r="C1" s="136"/>
      <c r="D1" s="136"/>
      <c r="E1" s="136"/>
      <c r="F1" s="1"/>
      <c r="G1" s="1"/>
      <c r="H1" s="1"/>
      <c r="I1" s="1"/>
      <c r="J1" s="1"/>
      <c r="K1" s="1"/>
      <c r="L1" s="1"/>
      <c r="N1" s="3" t="s">
        <v>45</v>
      </c>
      <c r="O1" s="33">
        <f>(1+InvRate)^(1/12)-1</f>
        <v>9.4887929345830457E-3</v>
      </c>
      <c r="Q1" s="94" t="s">
        <v>64</v>
      </c>
      <c r="R1" s="90" t="str">
        <f>IF(OR(GoalAmt&lt;=0,GoalYears&lt;=0,InvRate&lt;=0),"Error","")</f>
        <v/>
      </c>
      <c r="S1" s="90"/>
      <c r="T1" s="90"/>
      <c r="U1" s="90"/>
      <c r="W1" s="28" t="s">
        <v>46</v>
      </c>
      <c r="X1" s="29">
        <f>IF(O12&lt;=0,0,ROUND(FV(InvRate,GoalYears,0,-C30,1),0))</f>
        <v>0</v>
      </c>
      <c r="Y1" s="30">
        <f>IF(X1&lt;=0,0,ROUND((X1-C30)*CapGainTax,0))</f>
        <v>0</v>
      </c>
      <c r="Z1" s="25" t="s">
        <v>17</v>
      </c>
      <c r="AB1"/>
      <c r="AC1"/>
      <c r="AD1"/>
      <c r="AE1"/>
      <c r="AF1"/>
      <c r="AG1"/>
      <c r="AH1"/>
      <c r="AI1"/>
      <c r="AJ1"/>
      <c r="AK1"/>
      <c r="AL1"/>
      <c r="AM1"/>
    </row>
    <row r="2" spans="1:56" ht="15" customHeight="1" x14ac:dyDescent="0.25">
      <c r="A2" s="1"/>
      <c r="B2" s="133" t="s">
        <v>73</v>
      </c>
      <c r="C2" s="132" t="s">
        <v>75</v>
      </c>
      <c r="D2" s="133" t="s">
        <v>74</v>
      </c>
      <c r="E2" s="131"/>
      <c r="F2" s="1"/>
      <c r="G2" s="1"/>
      <c r="H2" s="1"/>
      <c r="I2" s="1"/>
      <c r="J2" s="1"/>
      <c r="K2" s="1"/>
      <c r="L2" s="1"/>
      <c r="N2" s="43" t="s">
        <v>28</v>
      </c>
      <c r="Q2" s="90"/>
      <c r="R2" s="90"/>
      <c r="S2" s="90"/>
      <c r="T2" s="90"/>
      <c r="U2" s="90"/>
      <c r="W2" s="31" t="s">
        <v>5</v>
      </c>
      <c r="X2" s="32">
        <f>IF(O12&lt;=0,0,Q12-(X1-Y1))</f>
        <v>10000000</v>
      </c>
      <c r="Y2" s="30"/>
      <c r="Z2" s="25" t="s">
        <v>17</v>
      </c>
      <c r="AB2"/>
      <c r="AC2"/>
      <c r="AD2"/>
      <c r="AE2"/>
      <c r="AF2"/>
      <c r="AG2"/>
      <c r="AH2"/>
      <c r="AI2"/>
      <c r="AJ2"/>
      <c r="AK2"/>
      <c r="AL2"/>
      <c r="AM2"/>
      <c r="AR2" s="4"/>
    </row>
    <row r="3" spans="1:5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N3" s="3" t="s">
        <v>29</v>
      </c>
      <c r="O3" s="37">
        <f>IF(OR(D11&lt;=0,D13&lt;=0),0,D13*D14*12)</f>
        <v>0</v>
      </c>
      <c r="Q3" s="90"/>
      <c r="R3" s="90"/>
      <c r="S3" s="90"/>
      <c r="T3" s="90"/>
      <c r="U3" s="90"/>
      <c r="W3" s="34" t="s">
        <v>2</v>
      </c>
      <c r="X3" s="34">
        <f>GoalYears*12</f>
        <v>180</v>
      </c>
      <c r="Y3" s="30"/>
      <c r="AB3"/>
      <c r="AC3"/>
      <c r="AD3"/>
      <c r="AE3"/>
      <c r="AF3"/>
      <c r="AG3"/>
      <c r="AH3"/>
      <c r="AI3"/>
      <c r="AJ3"/>
      <c r="AK3"/>
      <c r="AL3"/>
      <c r="AM3"/>
      <c r="AR3" s="4"/>
    </row>
    <row r="4" spans="1:56" x14ac:dyDescent="0.25">
      <c r="A4" s="1"/>
      <c r="B4" s="6" t="s">
        <v>6</v>
      </c>
      <c r="C4" s="16">
        <v>10000000</v>
      </c>
      <c r="D4" s="7"/>
      <c r="E4" s="1"/>
      <c r="F4" s="1"/>
      <c r="G4" s="1"/>
      <c r="H4" s="1"/>
      <c r="I4" s="1"/>
      <c r="J4" s="1"/>
      <c r="K4" s="1"/>
      <c r="L4" s="1"/>
      <c r="N4" s="3" t="s">
        <v>31</v>
      </c>
      <c r="O4" s="5">
        <f>IF(OR(D11&lt;=0,D13&lt;=0),0,FV((1+D11)^(1/12)-1,D14*12,-D13,0,1))</f>
        <v>0</v>
      </c>
      <c r="Q4" s="90"/>
      <c r="R4" s="90"/>
      <c r="S4" s="90"/>
      <c r="T4" s="90"/>
      <c r="U4" s="90"/>
      <c r="AB4"/>
      <c r="AC4"/>
      <c r="AD4"/>
      <c r="AE4"/>
      <c r="AF4"/>
      <c r="AG4"/>
      <c r="AH4"/>
      <c r="AI4"/>
      <c r="AJ4"/>
      <c r="AK4"/>
      <c r="AL4"/>
      <c r="AM4"/>
      <c r="AP4" s="4"/>
    </row>
    <row r="5" spans="1:56" x14ac:dyDescent="0.25">
      <c r="A5" s="1"/>
      <c r="B5" s="6" t="s">
        <v>1</v>
      </c>
      <c r="C5" s="8">
        <v>15</v>
      </c>
      <c r="D5" s="7" t="str">
        <f>IF(GoalYears&lt;=0,"Error","(Max. 75)")</f>
        <v>(Max. 75)</v>
      </c>
      <c r="E5" s="1"/>
      <c r="F5" s="1"/>
      <c r="G5" s="1"/>
      <c r="H5" s="1"/>
      <c r="I5" s="1"/>
      <c r="J5" s="1"/>
      <c r="K5" s="1"/>
      <c r="L5" s="1"/>
      <c r="N5" s="3" t="s">
        <v>35</v>
      </c>
      <c r="O5" s="5">
        <f>IF(GoalYears&lt;=0,O4,FV(D11,GoalYears-D14,0,-O4,1))</f>
        <v>0</v>
      </c>
      <c r="Q5" s="90"/>
      <c r="R5" s="90"/>
      <c r="S5" s="90"/>
      <c r="T5" s="90"/>
      <c r="U5" s="90"/>
      <c r="AB5"/>
      <c r="AC5"/>
      <c r="AD5"/>
      <c r="AE5"/>
      <c r="AF5"/>
      <c r="AG5"/>
      <c r="AH5"/>
      <c r="AI5"/>
      <c r="AJ5"/>
      <c r="AK5"/>
      <c r="AL5"/>
      <c r="AM5"/>
      <c r="AP5" s="4"/>
    </row>
    <row r="6" spans="1:56" x14ac:dyDescent="0.25">
      <c r="A6" s="1"/>
      <c r="B6" s="6" t="s">
        <v>14</v>
      </c>
      <c r="C6" s="9">
        <v>0.12</v>
      </c>
      <c r="D6" s="7"/>
      <c r="E6" s="1"/>
      <c r="F6" s="1"/>
      <c r="G6" s="1"/>
      <c r="H6" s="1"/>
      <c r="I6" s="1"/>
      <c r="J6" s="1"/>
      <c r="K6" s="1"/>
      <c r="L6" s="1"/>
      <c r="Q6" s="90"/>
      <c r="R6" s="90"/>
      <c r="S6" s="90"/>
      <c r="T6" s="90"/>
      <c r="U6" s="90"/>
      <c r="AA6" s="90"/>
      <c r="AB6"/>
      <c r="AC6"/>
      <c r="AD6"/>
      <c r="AE6"/>
      <c r="AF6"/>
      <c r="AG6"/>
      <c r="AH6"/>
      <c r="AI6"/>
      <c r="AJ6"/>
      <c r="AK6"/>
      <c r="AL6"/>
      <c r="AM6"/>
      <c r="AR6" s="12" t="s">
        <v>12</v>
      </c>
      <c r="AY6" s="18" t="s">
        <v>13</v>
      </c>
      <c r="AZ6" s="3">
        <f>COUNTIF(AW13:AW73,"&gt;0")</f>
        <v>1</v>
      </c>
    </row>
    <row r="7" spans="1:56" x14ac:dyDescent="0.25">
      <c r="A7" s="1"/>
      <c r="B7" s="22" t="s">
        <v>16</v>
      </c>
      <c r="C7" s="23">
        <v>0.125</v>
      </c>
      <c r="D7" s="21"/>
      <c r="E7" s="1"/>
      <c r="F7" s="1"/>
      <c r="G7" s="1"/>
      <c r="H7" s="1"/>
      <c r="I7" s="1"/>
      <c r="J7" s="1"/>
      <c r="K7" s="1"/>
      <c r="L7" s="1"/>
      <c r="N7" s="3" t="s">
        <v>32</v>
      </c>
      <c r="O7" s="5">
        <f>IF(OR(D11&lt;=0,D10&lt;=0,D14&lt;=0),0,FV(D11,GoalYears,0,-D10,1))</f>
        <v>0</v>
      </c>
      <c r="Q7" s="90"/>
      <c r="R7" s="90"/>
      <c r="S7" s="90"/>
      <c r="T7" s="90"/>
      <c r="U7" s="90"/>
      <c r="AB7"/>
      <c r="AC7"/>
      <c r="AD7"/>
      <c r="AE7"/>
      <c r="AF7"/>
      <c r="AG7"/>
      <c r="AH7"/>
      <c r="AR7" s="12" t="s">
        <v>8</v>
      </c>
      <c r="AY7" s="3" t="s">
        <v>7</v>
      </c>
      <c r="AZ7" s="3">
        <f>QUOTIENT(AZ10,12)</f>
        <v>0</v>
      </c>
      <c r="BA7" s="3">
        <f>AZ7+IF(AZ8=12,1,0)</f>
        <v>0</v>
      </c>
    </row>
    <row r="8" spans="1:5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N8" s="3" t="s">
        <v>4</v>
      </c>
      <c r="O8" s="5">
        <f>O5-O3</f>
        <v>0</v>
      </c>
      <c r="Q8" s="90"/>
      <c r="R8" s="90"/>
      <c r="S8" s="90"/>
      <c r="T8" s="90"/>
      <c r="U8" s="90"/>
      <c r="AB8"/>
      <c r="AC8"/>
      <c r="AD8"/>
      <c r="AE8"/>
      <c r="AF8"/>
      <c r="AG8"/>
      <c r="AH8"/>
      <c r="AY8" s="3" t="s">
        <v>9</v>
      </c>
      <c r="AZ8" s="3">
        <f>ROUNDUP(MOD(AZ10,12),0)</f>
        <v>0</v>
      </c>
      <c r="BA8" s="3">
        <f>IF(AZ8=12,0,AZ8)</f>
        <v>0</v>
      </c>
    </row>
    <row r="9" spans="1:56" x14ac:dyDescent="0.25">
      <c r="A9" s="1"/>
      <c r="B9" s="1"/>
      <c r="C9" s="74" t="s">
        <v>61</v>
      </c>
      <c r="D9" s="74" t="s">
        <v>25</v>
      </c>
      <c r="E9" s="74"/>
      <c r="F9" s="1"/>
      <c r="G9" s="1"/>
      <c r="H9" s="1"/>
      <c r="I9" s="1"/>
      <c r="J9" s="1"/>
      <c r="K9" s="1"/>
      <c r="L9" s="1"/>
      <c r="N9" s="3" t="s">
        <v>33</v>
      </c>
      <c r="O9" s="5">
        <f>IF(O7&gt;0,O7-D10,0)</f>
        <v>0</v>
      </c>
      <c r="Q9" s="90"/>
      <c r="R9" s="90"/>
      <c r="S9" s="90"/>
      <c r="T9" s="90"/>
      <c r="U9" s="90"/>
      <c r="AB9"/>
      <c r="AC9"/>
      <c r="AD9"/>
      <c r="AE9"/>
      <c r="AF9"/>
      <c r="AG9"/>
      <c r="AH9"/>
    </row>
    <row r="10" spans="1:56" x14ac:dyDescent="0.25">
      <c r="A10" s="1"/>
      <c r="B10" s="89" t="s">
        <v>15</v>
      </c>
      <c r="C10" s="80"/>
      <c r="D10" s="97"/>
      <c r="E10" s="74"/>
      <c r="F10" s="1"/>
      <c r="G10" s="1"/>
      <c r="H10" s="1"/>
      <c r="I10" s="1"/>
      <c r="J10" s="1"/>
      <c r="K10" s="1"/>
      <c r="L10" s="1"/>
      <c r="N10" s="3" t="s">
        <v>30</v>
      </c>
      <c r="O10" s="5">
        <f>(O8+O9)*D12</f>
        <v>0</v>
      </c>
      <c r="Q10" s="90"/>
      <c r="R10" s="90"/>
      <c r="S10" s="90"/>
      <c r="T10" s="90"/>
      <c r="U10" s="90"/>
      <c r="AB10"/>
      <c r="AC10"/>
      <c r="AD10"/>
      <c r="AE10"/>
      <c r="AF10"/>
      <c r="AG10"/>
      <c r="AH10"/>
      <c r="AY10" s="3" t="s">
        <v>22</v>
      </c>
      <c r="AZ10" s="3">
        <f>ROUNDUP(IF(AC6=1,X3,Q8),2)</f>
        <v>0</v>
      </c>
    </row>
    <row r="11" spans="1:56" x14ac:dyDescent="0.25">
      <c r="A11" s="1"/>
      <c r="B11" s="19" t="s">
        <v>57</v>
      </c>
      <c r="C11" s="39">
        <v>0.12</v>
      </c>
      <c r="D11" s="98">
        <v>0.09</v>
      </c>
      <c r="E11" s="74"/>
      <c r="F11" s="1"/>
      <c r="G11" s="1"/>
      <c r="H11" s="1"/>
      <c r="I11" s="1"/>
      <c r="J11" s="1"/>
      <c r="K11" s="1"/>
      <c r="L11" s="1"/>
      <c r="O11" s="5"/>
      <c r="Q11" s="94" t="s">
        <v>63</v>
      </c>
      <c r="R11" s="90"/>
      <c r="S11" s="90"/>
      <c r="T11" s="90"/>
      <c r="U11" s="90"/>
      <c r="AB11"/>
      <c r="AC11"/>
      <c r="AD11"/>
      <c r="AE11"/>
      <c r="AF11"/>
      <c r="AG11"/>
      <c r="AH11"/>
    </row>
    <row r="12" spans="1:56" x14ac:dyDescent="0.25">
      <c r="A12" s="1"/>
      <c r="B12" s="20" t="s">
        <v>58</v>
      </c>
      <c r="C12" s="40">
        <v>0.125</v>
      </c>
      <c r="D12" s="99">
        <v>0.125</v>
      </c>
      <c r="E12" s="74"/>
      <c r="F12" s="1"/>
      <c r="G12" s="1"/>
      <c r="H12" s="1"/>
      <c r="I12" s="1"/>
      <c r="J12" s="1"/>
      <c r="K12" s="1"/>
      <c r="L12" s="1"/>
      <c r="N12" s="27" t="s">
        <v>34</v>
      </c>
      <c r="O12" s="59">
        <f>IF(R1="Error",0,GoalAmt-C16-D16)</f>
        <v>10000000</v>
      </c>
      <c r="Q12" s="69">
        <f>IF(R1="Error",0,O12)</f>
        <v>10000000</v>
      </c>
      <c r="AB12"/>
      <c r="AC12"/>
      <c r="AD12"/>
      <c r="AE12"/>
      <c r="AF12"/>
      <c r="AG12"/>
      <c r="AH12"/>
      <c r="AR12" s="35" t="s">
        <v>10</v>
      </c>
      <c r="AS12" s="35" t="s">
        <v>11</v>
      </c>
      <c r="AT12" s="12"/>
      <c r="AU12" s="12" t="s">
        <v>20</v>
      </c>
      <c r="AW12" s="35" t="s">
        <v>21</v>
      </c>
      <c r="AX12" s="35" t="s">
        <v>0</v>
      </c>
      <c r="AY12" s="12" t="s">
        <v>18</v>
      </c>
      <c r="AZ12" s="12" t="s">
        <v>23</v>
      </c>
      <c r="BA12" s="12" t="s">
        <v>19</v>
      </c>
      <c r="BB12" s="12" t="s">
        <v>24</v>
      </c>
      <c r="BD12" s="12"/>
    </row>
    <row r="13" spans="1:56" x14ac:dyDescent="0.25">
      <c r="A13" s="1"/>
      <c r="B13" s="67" t="s">
        <v>26</v>
      </c>
      <c r="C13" s="67"/>
      <c r="D13" s="97"/>
      <c r="E13" s="74"/>
      <c r="F13" s="1"/>
      <c r="G13" s="1"/>
      <c r="H13" s="1"/>
      <c r="I13" s="1"/>
      <c r="J13" s="1"/>
      <c r="K13" s="1"/>
      <c r="L13" s="1"/>
      <c r="Q13" s="14"/>
      <c r="AB13" s="14"/>
      <c r="AP13" s="3">
        <v>1</v>
      </c>
      <c r="AR13" s="14" t="e">
        <f>IF(#REF!&lt;=0,0,IF(AP13&lt;=$X$3,FV($O$1,AP13,-$X$5,0,1),0))</f>
        <v>#REF!</v>
      </c>
      <c r="AS13" s="17" t="e">
        <f>IF(#REF!&lt;=0,0,IF(AP13&lt;=$X$3,FV($O$1,AP13,-#REF!,0,1),0))</f>
        <v>#REF!</v>
      </c>
      <c r="AU13" s="5">
        <f>X21</f>
        <v>124699.64184927003</v>
      </c>
      <c r="AW13" s="26">
        <v>1</v>
      </c>
      <c r="AX13" s="26">
        <f>IF(AND(AW13&lt;=$AZ$7,BB12&lt;&gt;$AZ$7),0,IF(BB12=BB11,0,$AZ$8))</f>
        <v>0</v>
      </c>
      <c r="AY13" s="11" cm="1">
        <f t="array" ref="AY13">IF(AX13=0,IF(AW13&gt;0,INDEX($AU$13:$AU$611,AW13*12),0),INDEX($AU$13:$AU$611,AW13*12+AX13))</f>
        <v>113461.9353712802</v>
      </c>
      <c r="AZ13" s="11">
        <f>IF(AW13&gt;0,FV($C$11,AW13+IF(AX13&gt;0,MOD($Q$9,12),0),0,-$C$10,1),0)</f>
        <v>0</v>
      </c>
      <c r="BA13" s="11">
        <f>IF(AW13&gt;0,FV($C$6,AW13+IF(AX13&gt;0,MOD($Q$9,12),0),0,-$C$30,1),0)</f>
        <v>0</v>
      </c>
      <c r="BB13" s="37">
        <f>AY13+AZ13+BA13</f>
        <v>113461.9353712802</v>
      </c>
    </row>
    <row r="14" spans="1:56" x14ac:dyDescent="0.25">
      <c r="A14" s="1"/>
      <c r="B14" s="66" t="s">
        <v>54</v>
      </c>
      <c r="C14" s="66"/>
      <c r="D14" s="102">
        <v>15</v>
      </c>
      <c r="E14" s="74"/>
      <c r="F14" s="1"/>
      <c r="G14" s="1"/>
      <c r="H14" s="1"/>
      <c r="I14" s="1"/>
      <c r="J14" s="1"/>
      <c r="K14" s="1"/>
      <c r="L14" s="1"/>
      <c r="AB14" s="10"/>
      <c r="AP14" s="3">
        <v>2</v>
      </c>
      <c r="AR14" s="14">
        <f>IF(AP14&lt;=$X$3,FV($O$1,AP14,-$X$5,0,1),0)</f>
        <v>0</v>
      </c>
      <c r="AS14" s="17" t="e">
        <f>IF(OR(AS13=0,AS13&gt;=#REF!),0,FV($O$1,AP14,-#REF!,0,1))</f>
        <v>#REF!</v>
      </c>
      <c r="AU14" s="5">
        <f>X22</f>
        <v>123527.5148392369</v>
      </c>
      <c r="AW14" s="26">
        <f>IF($AZ$7&gt;AW13,IF(AW13=0,0,AW13+1),IF(OR(AW13=0,AW13=BB12),0,IF($AZ$8&gt;0,AW13,0)))</f>
        <v>0</v>
      </c>
      <c r="AX14" s="26">
        <f>IF(AND(AW14&lt;=$AZ$7,AW13&lt;&gt;$AZ$7),0,IF(AW13=BB12,0,$AZ$8))</f>
        <v>0</v>
      </c>
      <c r="AY14" s="11" cm="1">
        <f t="array" ref="AY14">IF(AX14=0,IF(AW14&gt;0,INDEX($AU$13:$AU$611,AW14*12),0),INDEX($AU$13:$AU$611,AW14*12+AX14))</f>
        <v>0</v>
      </c>
      <c r="AZ14" s="11">
        <f>IF(AW14&gt;0,FV($C$11,AW14+IF(AX14&gt;0,MOD($Q$9,12),0),0,-$C$10,1),0)</f>
        <v>0</v>
      </c>
      <c r="BA14" s="11">
        <f>IF(AW14&gt;0,FV($C$6,AW14+IF(AX14&gt;0,MOD($Q$9,12),0),0,-$C$30,1),0)</f>
        <v>0</v>
      </c>
      <c r="BB14" s="37">
        <f t="shared" ref="BB14:BE73" si="0">AY14+AZ14+BA14</f>
        <v>0</v>
      </c>
    </row>
    <row r="15" spans="1:56" x14ac:dyDescent="0.25">
      <c r="A15" s="1"/>
      <c r="B15" s="127" t="s">
        <v>72</v>
      </c>
      <c r="C15" s="128">
        <f>C10</f>
        <v>0</v>
      </c>
      <c r="D15" s="128">
        <f>D10+(D13*D14*12)</f>
        <v>0</v>
      </c>
      <c r="E15" s="74"/>
      <c r="F15" s="1"/>
      <c r="G15" s="1"/>
      <c r="H15" s="1"/>
      <c r="I15" s="1"/>
      <c r="J15" s="1"/>
      <c r="K15" s="1"/>
      <c r="L15" s="1"/>
      <c r="AP15" s="3">
        <v>3</v>
      </c>
      <c r="AR15" s="14">
        <f>IF(AP15&lt;=$X$3,FV($O$1,AP15,-$X$5,0,1),0)</f>
        <v>0</v>
      </c>
      <c r="AS15" s="17" t="e">
        <f>IF(OR(AS14=0,AS14&gt;=#REF!),0,FV($O$1,AP15,-#REF!,0,1))</f>
        <v>#REF!</v>
      </c>
      <c r="AU15" s="5">
        <f>X23</f>
        <v>122366.4053566583</v>
      </c>
      <c r="AW15" s="26">
        <f t="shared" ref="AW15:AW73" si="1">IF($AZ$7&gt;AW14,IF(AW14=0,0,AW14+1),IF(OR(AW14=0,AW14=AW13),0,IF($AZ$8&gt;0,AW14,0)))</f>
        <v>0</v>
      </c>
      <c r="AX15" s="26">
        <f t="shared" ref="AX15:AX73" si="2">IF(AND(AW15&lt;=$AZ$7,AW14&lt;&gt;$AZ$7),0,IF(AW14=AW13,0,$AZ$8))</f>
        <v>0</v>
      </c>
      <c r="AY15" s="11" cm="1">
        <f t="array" ref="AY15">IF(AX15=0,IF(AW15&gt;0,INDEX($AU$13:$AU$611,AW15*12),0),INDEX($AU$13:$AU$611,AW15*12+AX15))</f>
        <v>0</v>
      </c>
      <c r="AZ15" s="11">
        <f>IF(AW15&gt;0,FV($C$11,AW15+IF(AX15&gt;0,MOD($Q$9,12),0),0,-$C$10,1),0)</f>
        <v>0</v>
      </c>
      <c r="BA15" s="11">
        <f>IF(AW15&gt;0,FV($C$6,AW15+IF(AX15&gt;0,MOD($Q$9,12),0),0,-$C$30,1),0)</f>
        <v>0</v>
      </c>
      <c r="BB15" s="37">
        <f t="shared" si="0"/>
        <v>0</v>
      </c>
    </row>
    <row r="16" spans="1:56" x14ac:dyDescent="0.25">
      <c r="A16" s="1"/>
      <c r="B16" s="65" t="s">
        <v>68</v>
      </c>
      <c r="C16" s="76">
        <f>IF(OR(C10&lt;=0,C11&lt;=0),0,FV(C11,GoalYears,0,-C10,1)-(FV(C11,GoalYears,0,-C10,1)-C10)*C12)</f>
        <v>0</v>
      </c>
      <c r="D16" s="76">
        <f>O5+O7-O10</f>
        <v>0</v>
      </c>
      <c r="E16" s="103" t="s">
        <v>59</v>
      </c>
      <c r="F16" s="1"/>
      <c r="G16" s="1"/>
      <c r="H16" s="1"/>
      <c r="I16" s="1"/>
      <c r="J16" s="1"/>
      <c r="K16" s="1"/>
      <c r="L16" s="1"/>
      <c r="AR16" s="14"/>
      <c r="AS16" s="17"/>
      <c r="AU16" s="5"/>
      <c r="AY16" s="11"/>
      <c r="AZ16" s="11"/>
      <c r="BA16" s="11"/>
      <c r="BB16" s="37"/>
    </row>
    <row r="17" spans="1:57" ht="13.8" thickBot="1" x14ac:dyDescent="0.3">
      <c r="A17" s="1"/>
      <c r="B17" s="104" t="s">
        <v>67</v>
      </c>
      <c r="C17" s="135">
        <f>ROUND(C16+D16,0)</f>
        <v>0</v>
      </c>
      <c r="D17" s="135"/>
      <c r="E17" s="78">
        <f>ROUND((FV(C11,GoalYears,0,-C10,1)-C10)*C12+O10,0)</f>
        <v>0</v>
      </c>
      <c r="F17" s="1"/>
      <c r="G17" s="1"/>
      <c r="H17" s="1"/>
      <c r="I17" s="1"/>
      <c r="J17" s="1"/>
      <c r="K17" s="1"/>
      <c r="L17" s="1"/>
      <c r="N17" s="43" t="s">
        <v>36</v>
      </c>
      <c r="O17" s="43"/>
      <c r="P17" s="43"/>
      <c r="Q17" s="43"/>
      <c r="R17" s="43"/>
      <c r="S17" s="42"/>
      <c r="W17" s="43" t="s">
        <v>47</v>
      </c>
      <c r="X17" s="60">
        <v>-335544.32000000001</v>
      </c>
      <c r="Y17" s="60"/>
      <c r="Z17" s="60"/>
      <c r="AA17" s="60"/>
      <c r="AB17" s="61">
        <v>0</v>
      </c>
      <c r="AC17" s="60"/>
      <c r="AD17" s="60"/>
      <c r="AE17" s="60"/>
      <c r="AS17" s="3">
        <v>4</v>
      </c>
      <c r="AU17" s="14">
        <f>IF(AS17&lt;=$X$3,FV($O$1,AS17,-$X$5,0,1),0)</f>
        <v>0</v>
      </c>
      <c r="AV17" s="17" t="e">
        <f>IF(OR(AS15=0,AS15&gt;=#REF!),0,FV($O$1,AS17,-#REF!,0,1))</f>
        <v>#REF!</v>
      </c>
      <c r="AW17" s="3"/>
      <c r="AX17" s="5">
        <f>X24</f>
        <v>121216.20984116055</v>
      </c>
      <c r="AZ17" s="26">
        <f>IF($AZ$7&gt;AW15,IF(AW15=0,0,AW15+1),IF(OR(AW15=0,AW15=AW14),0,IF($AZ$8&gt;0,AW15,0)))</f>
        <v>0</v>
      </c>
      <c r="BA17" s="26">
        <f>IF(AND(AZ17&lt;=$AZ$7,AW15&lt;&gt;$AZ$7),0,IF(AW15=AW14,0,$AZ$8))</f>
        <v>0</v>
      </c>
      <c r="BB17" s="11" cm="1">
        <f t="array" ref="BB17">IF(BA17=0,IF(AZ17&gt;0,INDEX($AU$13:$AU$611,AZ17*12),0),INDEX($AU$13:$AU$611,AZ17*12+BA17))</f>
        <v>0</v>
      </c>
      <c r="BC17" s="11">
        <f>IF(AZ17&gt;0,FV($C$11,AZ17+IF(BA17&gt;0,MOD($Q$9,12),0),0,-$C$10,1),0)</f>
        <v>0</v>
      </c>
      <c r="BD17" s="11">
        <f>IF(AZ17&gt;0,FV($C$6,AZ17+IF(BA17&gt;0,MOD($Q$9,12),0),0,-$C$30,1),0)</f>
        <v>0</v>
      </c>
      <c r="BE17" s="37">
        <f t="shared" si="0"/>
        <v>0</v>
      </c>
    </row>
    <row r="18" spans="1:57" ht="13.8" thickBot="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N18" s="3">
        <v>0</v>
      </c>
      <c r="O18" s="44">
        <v>12958.461646175903</v>
      </c>
      <c r="P18" s="50">
        <f>(P19-O19)*CapGainTax</f>
        <v>722761.45353562303</v>
      </c>
      <c r="Q18" s="51" t="s">
        <v>17</v>
      </c>
      <c r="W18" s="62">
        <v>0</v>
      </c>
      <c r="X18" s="27">
        <v>22782.158346845899</v>
      </c>
      <c r="Y18" s="11">
        <f>SUM(W21:W620)</f>
        <v>4100788.5024322546</v>
      </c>
      <c r="AA18" s="3">
        <v>0</v>
      </c>
      <c r="AB18" s="64">
        <v>12958.461646175903</v>
      </c>
      <c r="AC18" s="11">
        <f>SUM(AA21:AA620)</f>
        <v>4940669.8252506414</v>
      </c>
      <c r="AD18" s="3" t="s">
        <v>49</v>
      </c>
      <c r="AP18" s="3">
        <v>5</v>
      </c>
      <c r="AR18" s="14">
        <f t="shared" ref="AR18:AR81" si="3">IF(AP18&lt;=$X$3,FV($O$1,AP18,-$X$5,0,1),0)</f>
        <v>0</v>
      </c>
      <c r="AS18" s="17" t="e">
        <f>IF(OR(AV17=0,AV17&gt;=#REF!),0,FV($O$1,AP18,-#REF!,0,1))</f>
        <v>#REF!</v>
      </c>
      <c r="AU18" s="5">
        <f t="shared" ref="AU18:AU49" si="4">X25</f>
        <v>120076.82570579623</v>
      </c>
      <c r="AW18" s="26">
        <f>IF($AZ$7&gt;AZ17,IF(AZ17=0,0,AZ17+1),IF(OR(AZ17=0,AZ17=AW15),0,IF($AZ$8&gt;0,AZ17,0)))</f>
        <v>0</v>
      </c>
      <c r="AX18" s="26">
        <f>IF(AND(AW18&lt;=$AZ$7,AZ17&lt;&gt;$AZ$7),0,IF(AZ17=AW15,0,$AZ$8))</f>
        <v>0</v>
      </c>
      <c r="AY18" s="11" cm="1">
        <f t="array" ref="AY18">IF(AX18=0,IF(AW18&gt;0,INDEX($AU$13:$AU$611,AW18*12),0),INDEX($AU$13:$AU$611,AW18*12+AX18))</f>
        <v>0</v>
      </c>
      <c r="AZ18" s="11">
        <f t="shared" ref="AZ18:AZ45" si="5">IF(AW18&gt;0,FV($C$11,AW18+IF(AX18&gt;0,MOD($Q$9,12),0),0,-$C$10,1),0)</f>
        <v>0</v>
      </c>
      <c r="BA18" s="11">
        <f t="shared" ref="BA18:BA49" si="6">IF(AW18&gt;0,FV($C$6,AW18+IF(AX18&gt;0,MOD($Q$9,12),0),0,-$C$30,1),0)</f>
        <v>0</v>
      </c>
      <c r="BB18" s="37">
        <f t="shared" si="0"/>
        <v>0</v>
      </c>
    </row>
    <row r="19" spans="1:57" ht="13.8" thickBot="1" x14ac:dyDescent="0.3">
      <c r="A19" s="82"/>
      <c r="B19" s="82"/>
      <c r="C19" s="82"/>
      <c r="D19" s="82"/>
      <c r="E19" s="82"/>
      <c r="F19" s="82"/>
      <c r="G19" s="82"/>
      <c r="H19" s="1"/>
      <c r="I19" s="1"/>
      <c r="J19" s="1"/>
      <c r="K19" s="1"/>
      <c r="L19" s="1"/>
      <c r="N19" s="126">
        <f>Q12+P18-P19</f>
        <v>0</v>
      </c>
      <c r="O19" s="49">
        <f>SUM(O21:O920)</f>
        <v>4940669.8252506414</v>
      </c>
      <c r="P19" s="50">
        <f>SUM(P21:P920)</f>
        <v>10722761.453535626</v>
      </c>
      <c r="Q19" s="51" t="s">
        <v>38</v>
      </c>
      <c r="W19" s="3" t="s">
        <v>48</v>
      </c>
      <c r="X19" s="5">
        <f>SUM(X21:X620)</f>
        <v>10842744.499652518</v>
      </c>
      <c r="Y19" s="24">
        <f>(X19-Y18)*CapGainTax</f>
        <v>842744.49965253286</v>
      </c>
      <c r="Z19" s="25" t="s">
        <v>17</v>
      </c>
      <c r="AA19" s="3" t="s">
        <v>50</v>
      </c>
      <c r="AB19" s="5">
        <f>SUM(AB21:AB620)</f>
        <v>10722761.453535626</v>
      </c>
      <c r="AC19" s="24">
        <f>(AB19-AC18)*CapGainTax</f>
        <v>722761.45353562303</v>
      </c>
      <c r="AD19" s="25" t="s">
        <v>17</v>
      </c>
      <c r="AP19" s="3">
        <v>6</v>
      </c>
      <c r="AR19" s="14">
        <f t="shared" si="3"/>
        <v>0</v>
      </c>
      <c r="AS19" s="17" t="e">
        <f>IF(OR(AS18=0,AS18&gt;=#REF!),0,FV($O$1,AP19,-#REF!,0,1))</f>
        <v>#REF!</v>
      </c>
      <c r="AU19" s="5">
        <f t="shared" si="4"/>
        <v>118948.15132789442</v>
      </c>
      <c r="AW19" s="26">
        <f>IF($AZ$7&gt;AW18,IF(AW18=0,0,AW18+1),IF(OR(AW18=0,AW18=AZ17),0,IF($AZ$8&gt;0,AW18,0)))</f>
        <v>0</v>
      </c>
      <c r="AX19" s="26">
        <f>IF(AND(AW19&lt;=$AZ$7,AW18&lt;&gt;$AZ$7),0,IF(AW18=AZ17,0,$AZ$8))</f>
        <v>0</v>
      </c>
      <c r="AY19" s="11" cm="1">
        <f t="array" ref="AY19">IF(AX19=0,IF(AW19&gt;0,INDEX($AU$13:$AU$611,AW19*12),0),INDEX($AU$13:$AU$611,AW19*12+AX19))</f>
        <v>0</v>
      </c>
      <c r="AZ19" s="11">
        <f t="shared" si="5"/>
        <v>0</v>
      </c>
      <c r="BA19" s="11">
        <f t="shared" si="6"/>
        <v>0</v>
      </c>
      <c r="BB19" s="37">
        <f t="shared" si="0"/>
        <v>0</v>
      </c>
    </row>
    <row r="20" spans="1:57" x14ac:dyDescent="0.25">
      <c r="A20" s="82"/>
      <c r="B20" s="68" t="s">
        <v>55</v>
      </c>
      <c r="C20" s="69">
        <f>ROUND(O12,0)</f>
        <v>10000000</v>
      </c>
      <c r="D20" s="68" t="str">
        <f>IF(C20&lt;0,"Excess","")</f>
        <v/>
      </c>
      <c r="E20" s="68"/>
      <c r="F20" s="82"/>
      <c r="G20" s="82"/>
      <c r="H20" s="1"/>
      <c r="I20" s="1"/>
      <c r="J20" s="1"/>
      <c r="K20" s="1"/>
      <c r="L20" s="1"/>
      <c r="M20" s="46" t="s">
        <v>21</v>
      </c>
      <c r="N20" s="47" t="s">
        <v>0</v>
      </c>
      <c r="O20" s="48" t="s">
        <v>37</v>
      </c>
      <c r="P20" s="48" t="s">
        <v>31</v>
      </c>
      <c r="S20" s="5"/>
      <c r="W20" s="12" t="s">
        <v>40</v>
      </c>
      <c r="X20" s="13">
        <f>X2-X19+Y19</f>
        <v>1.4901161193847656E-8</v>
      </c>
      <c r="Y20" s="5"/>
      <c r="AA20" s="12" t="s">
        <v>40</v>
      </c>
      <c r="AB20" s="13">
        <f>X2-AB19+AC19</f>
        <v>-2.6775524020195007E-9</v>
      </c>
      <c r="AC20" s="5"/>
      <c r="AP20" s="3">
        <v>7</v>
      </c>
      <c r="AR20" s="14">
        <f t="shared" si="3"/>
        <v>0</v>
      </c>
      <c r="AS20" s="17" t="e">
        <f>IF(OR(AS19=0,AS19&gt;=#REF!),0,FV($O$1,AP20,-#REF!,0,1))</f>
        <v>#REF!</v>
      </c>
      <c r="AU20" s="5">
        <f t="shared" si="4"/>
        <v>117830.08603999675</v>
      </c>
      <c r="AW20" s="26">
        <f t="shared" si="1"/>
        <v>0</v>
      </c>
      <c r="AX20" s="26">
        <f t="shared" si="2"/>
        <v>0</v>
      </c>
      <c r="AY20" s="11" cm="1">
        <f t="array" ref="AY20">IF(AX20=0,IF(AW20&gt;0,INDEX($AU$13:$AU$611,AW20*12),0),INDEX($AU$13:$AU$611,AW20*12+AX20))</f>
        <v>0</v>
      </c>
      <c r="AZ20" s="11">
        <f t="shared" si="5"/>
        <v>0</v>
      </c>
      <c r="BA20" s="11">
        <f t="shared" si="6"/>
        <v>0</v>
      </c>
      <c r="BB20" s="37">
        <f t="shared" si="0"/>
        <v>0</v>
      </c>
    </row>
    <row r="21" spans="1:57" x14ac:dyDescent="0.25">
      <c r="A21" s="82"/>
      <c r="B21" s="82"/>
      <c r="C21" s="82"/>
      <c r="D21" s="82"/>
      <c r="E21" s="82"/>
      <c r="F21" s="82"/>
      <c r="G21" s="82"/>
      <c r="H21" s="1"/>
      <c r="I21" s="1"/>
      <c r="J21" s="1"/>
      <c r="K21" s="1"/>
      <c r="L21" s="1"/>
      <c r="M21" s="45">
        <f>IF(MOD(N21,12)=0,(N21/12)-1,QUOTIENT(N21,12))</f>
        <v>0</v>
      </c>
      <c r="N21" s="36">
        <v>1</v>
      </c>
      <c r="O21" s="91">
        <f t="shared" ref="O21:O84" si="7">IF(N21&lt;=InvMonths,SU_Amt*(1+GRate)^M21,0)</f>
        <v>12958.461646175903</v>
      </c>
      <c r="P21" s="38">
        <f t="shared" ref="P21:P84" si="8">FV(SIPRate,InvMonths-N21+1,0,-O21,1)</f>
        <v>70928.991959155377</v>
      </c>
      <c r="W21" s="26">
        <f t="shared" ref="W21:W84" si="9">IF(N21&lt;=InvMonths,$X$18,0)</f>
        <v>22782.158346845899</v>
      </c>
      <c r="X21" s="5">
        <f t="shared" ref="X21:X84" si="10">FV(SIPRate,(InvMonths-N21+1),0,-W21,1)</f>
        <v>124699.64184927003</v>
      </c>
      <c r="Y21" s="5"/>
      <c r="AA21" s="63">
        <f t="shared" ref="AA21:AA84" si="11">IF(N21&lt;=InvMonths,$AB$18*(1+$C$32)^M21,0)</f>
        <v>12958.461646175903</v>
      </c>
      <c r="AB21" s="5">
        <f t="shared" ref="AB21:AB84" si="12">FV(SIPRate,(InvMonths-N21+1),0,-AA21,1)</f>
        <v>70928.991959155377</v>
      </c>
      <c r="AP21" s="3">
        <v>8</v>
      </c>
      <c r="AR21" s="14">
        <f t="shared" si="3"/>
        <v>0</v>
      </c>
      <c r="AS21" s="17" t="e">
        <f>IF(OR(AS20=0,AS20&gt;=#REF!),0,FV($O$1,AP21,-#REF!,0,1))</f>
        <v>#REF!</v>
      </c>
      <c r="AU21" s="5">
        <f t="shared" si="4"/>
        <v>116722.53012087908</v>
      </c>
      <c r="AW21" s="26">
        <f t="shared" si="1"/>
        <v>0</v>
      </c>
      <c r="AX21" s="26">
        <f t="shared" si="2"/>
        <v>0</v>
      </c>
      <c r="AY21" s="11" cm="1">
        <f t="array" ref="AY21">IF(AX21=0,IF(AW21&gt;0,INDEX($AU$13:$AU$611,AW21*12),0),INDEX($AU$13:$AU$611,AW21*12+AX21))</f>
        <v>0</v>
      </c>
      <c r="AZ21" s="11">
        <f t="shared" si="5"/>
        <v>0</v>
      </c>
      <c r="BA21" s="11">
        <f t="shared" si="6"/>
        <v>0</v>
      </c>
      <c r="BB21" s="37">
        <f t="shared" si="0"/>
        <v>0</v>
      </c>
    </row>
    <row r="22" spans="1:57" s="15" customFormat="1" ht="13.8" thickBot="1" x14ac:dyDescent="0.3">
      <c r="A22" s="82"/>
      <c r="B22" s="70" t="s">
        <v>56</v>
      </c>
      <c r="C22" s="71"/>
      <c r="D22" s="81" t="s">
        <v>60</v>
      </c>
      <c r="E22" s="81" t="s">
        <v>71</v>
      </c>
      <c r="F22" s="81" t="s">
        <v>59</v>
      </c>
      <c r="G22" s="82"/>
      <c r="H22" s="1"/>
      <c r="I22" s="1"/>
      <c r="J22" s="1"/>
      <c r="K22" s="1"/>
      <c r="L22" s="1"/>
      <c r="M22" s="45">
        <f t="shared" ref="M22:M85" si="13">IF(MOD(N22,12)=0,(N22/12)-1,QUOTIENT(N22,12))</f>
        <v>0</v>
      </c>
      <c r="N22" s="36">
        <v>2</v>
      </c>
      <c r="O22" s="91">
        <f t="shared" si="7"/>
        <v>12958.461646175903</v>
      </c>
      <c r="P22" s="38">
        <f t="shared" si="8"/>
        <v>70262.28766043541</v>
      </c>
      <c r="R22" s="134" t="s">
        <v>42</v>
      </c>
      <c r="S22" s="134"/>
      <c r="T22" s="3"/>
      <c r="U22" s="3"/>
      <c r="V22" s="3"/>
      <c r="W22" s="26">
        <f t="shared" si="9"/>
        <v>22782.158346845899</v>
      </c>
      <c r="X22" s="5">
        <f t="shared" si="10"/>
        <v>123527.5148392369</v>
      </c>
      <c r="Y22" s="5"/>
      <c r="Z22" s="3"/>
      <c r="AA22" s="63">
        <f t="shared" si="11"/>
        <v>12958.461646175903</v>
      </c>
      <c r="AB22" s="5">
        <f t="shared" si="12"/>
        <v>70262.28766043541</v>
      </c>
      <c r="AC22" s="3"/>
      <c r="AD22" s="3"/>
      <c r="AE22" s="3"/>
      <c r="AF22" s="3"/>
      <c r="AH22" s="3"/>
      <c r="AI22" s="3"/>
      <c r="AJ22" s="3"/>
      <c r="AL22" s="3"/>
      <c r="AP22" s="3">
        <v>9</v>
      </c>
      <c r="AR22" s="14">
        <f t="shared" si="3"/>
        <v>0</v>
      </c>
      <c r="AS22" s="17" t="e">
        <f>IF(OR(AS21=0,AS21&gt;=#REF!),0,FV($O$1,AP22,-#REF!,0,1))</f>
        <v>#REF!</v>
      </c>
      <c r="AU22" s="5">
        <f t="shared" si="4"/>
        <v>115625.38478665703</v>
      </c>
      <c r="AW22" s="26">
        <f t="shared" si="1"/>
        <v>0</v>
      </c>
      <c r="AX22" s="26">
        <f t="shared" si="2"/>
        <v>0</v>
      </c>
      <c r="AY22" s="11" cm="1">
        <f t="array" ref="AY22">IF(AX22=0,IF(AW22&gt;0,INDEX($AU$13:$AU$611,AW22*12),0),INDEX($AU$13:$AU$611,AW22*12+AX22))</f>
        <v>0</v>
      </c>
      <c r="AZ22" s="11">
        <f t="shared" si="5"/>
        <v>0</v>
      </c>
      <c r="BA22" s="11">
        <f t="shared" si="6"/>
        <v>0</v>
      </c>
      <c r="BB22" s="37">
        <f t="shared" si="0"/>
        <v>0</v>
      </c>
    </row>
    <row r="23" spans="1:57" ht="13.8" thickBot="1" x14ac:dyDescent="0.3">
      <c r="A23" s="82"/>
      <c r="B23" s="105" t="s">
        <v>66</v>
      </c>
      <c r="C23" s="75">
        <f>ROUND(S24,0)</f>
        <v>2034849</v>
      </c>
      <c r="D23" s="55"/>
      <c r="E23" s="129">
        <f>ROUND(S25,0)</f>
        <v>11137879</v>
      </c>
      <c r="F23" s="78">
        <f>ROUND(S23,0)</f>
        <v>1137879</v>
      </c>
      <c r="G23" s="82"/>
      <c r="H23" s="1"/>
      <c r="I23" s="1"/>
      <c r="J23" s="1"/>
      <c r="K23" s="1"/>
      <c r="L23" s="1"/>
      <c r="M23" s="45">
        <f t="shared" si="13"/>
        <v>0</v>
      </c>
      <c r="N23" s="36">
        <v>3</v>
      </c>
      <c r="O23" s="91">
        <f t="shared" si="7"/>
        <v>12958.461646175903</v>
      </c>
      <c r="P23" s="38">
        <f t="shared" si="8"/>
        <v>69601.850116813075</v>
      </c>
      <c r="R23" s="54" t="s">
        <v>39</v>
      </c>
      <c r="S23" s="92">
        <f>(S25-S24)*CapGainTax</f>
        <v>1137878.7421980589</v>
      </c>
      <c r="W23" s="26">
        <f t="shared" si="9"/>
        <v>22782.158346845899</v>
      </c>
      <c r="X23" s="5">
        <f t="shared" si="10"/>
        <v>122366.4053566583</v>
      </c>
      <c r="Y23" s="5"/>
      <c r="AA23" s="63">
        <f t="shared" si="11"/>
        <v>12958.461646175903</v>
      </c>
      <c r="AB23" s="5">
        <f t="shared" si="12"/>
        <v>69601.850116813075</v>
      </c>
      <c r="AP23" s="3">
        <v>10</v>
      </c>
      <c r="AR23" s="14">
        <f t="shared" si="3"/>
        <v>0</v>
      </c>
      <c r="AS23" s="17" t="e">
        <f>IF(OR(AS22=0,AS22&gt;=#REF!),0,FV($O$1,AP23,-#REF!,0,1))</f>
        <v>#REF!</v>
      </c>
      <c r="AU23" s="5">
        <f t="shared" si="4"/>
        <v>114538.55218197532</v>
      </c>
      <c r="AW23" s="26">
        <f t="shared" si="1"/>
        <v>0</v>
      </c>
      <c r="AX23" s="26">
        <f t="shared" si="2"/>
        <v>0</v>
      </c>
      <c r="AY23" s="11" cm="1">
        <f t="array" ref="AY23">IF(AX23=0,IF(AW23&gt;0,INDEX($AU$13:$AU$611,AW23*12),0),INDEX($AU$13:$AU$611,AW23*12+AX23))</f>
        <v>0</v>
      </c>
      <c r="AZ23" s="11">
        <f t="shared" si="5"/>
        <v>0</v>
      </c>
      <c r="BA23" s="11">
        <f t="shared" si="6"/>
        <v>0</v>
      </c>
      <c r="BB23" s="37">
        <f t="shared" si="0"/>
        <v>0</v>
      </c>
    </row>
    <row r="24" spans="1:57" ht="13.8" thickBot="1" x14ac:dyDescent="0.3">
      <c r="A24" s="82"/>
      <c r="B24" s="123" t="s">
        <v>70</v>
      </c>
      <c r="C24" s="124">
        <f>ROUND(S30,0)</f>
        <v>22782</v>
      </c>
      <c r="D24" s="125">
        <f>ROUND(S32,0)</f>
        <v>4100789</v>
      </c>
      <c r="E24" s="125">
        <f>ROUND(S31,0)</f>
        <v>10842744</v>
      </c>
      <c r="F24" s="79">
        <f>ROUND(S33,0)</f>
        <v>842744</v>
      </c>
      <c r="G24" s="82"/>
      <c r="H24" s="1"/>
      <c r="I24" s="1"/>
      <c r="J24" s="1"/>
      <c r="K24" s="1"/>
      <c r="L24" s="1"/>
      <c r="M24" s="45">
        <f t="shared" si="13"/>
        <v>0</v>
      </c>
      <c r="N24" s="36">
        <v>4</v>
      </c>
      <c r="O24" s="91">
        <f t="shared" si="7"/>
        <v>12958.461646175903</v>
      </c>
      <c r="P24" s="38">
        <f t="shared" si="8"/>
        <v>68947.620423284301</v>
      </c>
      <c r="R24" s="3">
        <v>0</v>
      </c>
      <c r="S24" s="38">
        <v>2034848.8046135879</v>
      </c>
      <c r="W24" s="26">
        <f t="shared" si="9"/>
        <v>22782.158346845899</v>
      </c>
      <c r="X24" s="5">
        <f t="shared" si="10"/>
        <v>121216.20984116055</v>
      </c>
      <c r="Y24" s="5"/>
      <c r="AA24" s="63">
        <f t="shared" si="11"/>
        <v>12958.461646175903</v>
      </c>
      <c r="AB24" s="5">
        <f t="shared" si="12"/>
        <v>68947.620423284301</v>
      </c>
      <c r="AP24" s="3">
        <v>11</v>
      </c>
      <c r="AR24" s="14">
        <f t="shared" si="3"/>
        <v>0</v>
      </c>
      <c r="AS24" s="17" t="e">
        <f>IF(OR(AS23=0,AS23&gt;=#REF!),0,FV($O$1,AP24,-#REF!,0,1))</f>
        <v>#REF!</v>
      </c>
      <c r="AU24" s="5">
        <f t="shared" si="4"/>
        <v>113461.9353712802</v>
      </c>
      <c r="AW24" s="26">
        <f t="shared" si="1"/>
        <v>0</v>
      </c>
      <c r="AX24" s="26">
        <f t="shared" si="2"/>
        <v>0</v>
      </c>
      <c r="AY24" s="11" cm="1">
        <f t="array" ref="AY24">IF(AX24=0,IF(AW24&gt;0,INDEX($AU$13:$AU$611,AW24*12),0),INDEX($AU$13:$AU$611,AW24*12+AX24))</f>
        <v>0</v>
      </c>
      <c r="AZ24" s="11">
        <f t="shared" si="5"/>
        <v>0</v>
      </c>
      <c r="BA24" s="11">
        <f t="shared" si="6"/>
        <v>0</v>
      </c>
      <c r="BB24" s="37">
        <f t="shared" si="0"/>
        <v>0</v>
      </c>
    </row>
    <row r="25" spans="1:57" ht="13.8" thickBot="1" x14ac:dyDescent="0.3">
      <c r="A25" s="82"/>
      <c r="B25" s="106" t="s">
        <v>27</v>
      </c>
      <c r="C25" s="57">
        <v>0.1</v>
      </c>
      <c r="D25" s="56"/>
      <c r="E25" s="56"/>
      <c r="F25" s="58"/>
      <c r="G25" s="82"/>
      <c r="H25" s="1"/>
      <c r="I25" s="1"/>
      <c r="J25" s="1"/>
      <c r="K25" s="1"/>
      <c r="L25" s="1"/>
      <c r="M25" s="45">
        <f t="shared" si="13"/>
        <v>0</v>
      </c>
      <c r="N25" s="36">
        <v>5</v>
      </c>
      <c r="O25" s="91">
        <f t="shared" si="7"/>
        <v>12958.461646175903</v>
      </c>
      <c r="P25" s="38">
        <f t="shared" si="8"/>
        <v>68299.540228528567</v>
      </c>
      <c r="R25" s="53" t="s">
        <v>41</v>
      </c>
      <c r="S25" s="93">
        <f>FV(InvRate,GoalYears,0,-S24,1)</f>
        <v>11137878.742198059</v>
      </c>
      <c r="W25" s="26">
        <f t="shared" si="9"/>
        <v>22782.158346845899</v>
      </c>
      <c r="X25" s="5">
        <f t="shared" si="10"/>
        <v>120076.82570579623</v>
      </c>
      <c r="Y25" s="5"/>
      <c r="AA25" s="63">
        <f t="shared" si="11"/>
        <v>12958.461646175903</v>
      </c>
      <c r="AB25" s="5">
        <f t="shared" si="12"/>
        <v>68299.540228528567</v>
      </c>
      <c r="AP25" s="3">
        <v>12</v>
      </c>
      <c r="AR25" s="14">
        <f t="shared" si="3"/>
        <v>0</v>
      </c>
      <c r="AS25" s="17" t="e">
        <f>IF(OR(AS24=0,AS24&gt;=#REF!),0,FV($O$1,AP25,-#REF!,0,1))</f>
        <v>#REF!</v>
      </c>
      <c r="AU25" s="5">
        <f t="shared" si="4"/>
        <v>112395.43833017346</v>
      </c>
      <c r="AW25" s="26">
        <f t="shared" si="1"/>
        <v>0</v>
      </c>
      <c r="AX25" s="26">
        <f t="shared" si="2"/>
        <v>0</v>
      </c>
      <c r="AY25" s="11" cm="1">
        <f t="array" ref="AY25">IF(AX25=0,IF(AW25&gt;0,INDEX($AU$13:$AU$611,AW25*12),0),INDEX($AU$13:$AU$611,AW25*12+AX25))</f>
        <v>0</v>
      </c>
      <c r="AZ25" s="11">
        <f t="shared" si="5"/>
        <v>0</v>
      </c>
      <c r="BA25" s="11">
        <f t="shared" si="6"/>
        <v>0</v>
      </c>
      <c r="BB25" s="37">
        <f t="shared" si="0"/>
        <v>0</v>
      </c>
    </row>
    <row r="26" spans="1:57" x14ac:dyDescent="0.25">
      <c r="A26" s="82"/>
      <c r="B26" s="107" t="s">
        <v>51</v>
      </c>
      <c r="C26" s="109">
        <f>ROUND(SU_Amt,0)</f>
        <v>12958</v>
      </c>
      <c r="D26" s="110"/>
      <c r="E26" s="110"/>
      <c r="F26" s="73"/>
      <c r="G26" s="82"/>
      <c r="H26" s="1"/>
      <c r="I26" s="1"/>
      <c r="J26" s="1"/>
      <c r="K26" s="1"/>
      <c r="L26" s="1"/>
      <c r="M26" s="45">
        <f t="shared" si="13"/>
        <v>0</v>
      </c>
      <c r="N26" s="36">
        <v>6</v>
      </c>
      <c r="O26" s="91">
        <f t="shared" si="7"/>
        <v>12958.461646175903</v>
      </c>
      <c r="P26" s="38">
        <f t="shared" si="8"/>
        <v>67657.551729704574</v>
      </c>
      <c r="R26" s="3" t="s">
        <v>40</v>
      </c>
      <c r="S26" s="52">
        <f>S25-S23-Q12</f>
        <v>0</v>
      </c>
      <c r="W26" s="26">
        <f t="shared" si="9"/>
        <v>22782.158346845899</v>
      </c>
      <c r="X26" s="5">
        <f t="shared" si="10"/>
        <v>118948.15132789442</v>
      </c>
      <c r="Y26" s="5"/>
      <c r="AA26" s="63">
        <f t="shared" si="11"/>
        <v>12958.461646175903</v>
      </c>
      <c r="AB26" s="5">
        <f t="shared" si="12"/>
        <v>67657.551729704574</v>
      </c>
      <c r="AP26" s="3">
        <v>13</v>
      </c>
      <c r="AR26" s="14">
        <f t="shared" si="3"/>
        <v>0</v>
      </c>
      <c r="AS26" s="17" t="e">
        <f>IF(OR(AS25=0,AS25&gt;=#REF!),0,FV($O$1,AP26,-#REF!,0,1))</f>
        <v>#REF!</v>
      </c>
      <c r="AU26" s="5">
        <f t="shared" si="4"/>
        <v>111338.96593684812</v>
      </c>
      <c r="AW26" s="26">
        <f t="shared" si="1"/>
        <v>0</v>
      </c>
      <c r="AX26" s="26">
        <f t="shared" si="2"/>
        <v>0</v>
      </c>
      <c r="AY26" s="11" cm="1">
        <f t="array" ref="AY26">IF(AX26=0,IF(AW26&gt;0,INDEX($AU$13:$AU$611,AW26*12),0),INDEX($AU$13:$AU$611,AW26*12+AX26))</f>
        <v>0</v>
      </c>
      <c r="AZ26" s="11">
        <f t="shared" si="5"/>
        <v>0</v>
      </c>
      <c r="BA26" s="11">
        <f t="shared" si="6"/>
        <v>0</v>
      </c>
      <c r="BB26" s="37">
        <f t="shared" si="0"/>
        <v>0</v>
      </c>
    </row>
    <row r="27" spans="1:57" x14ac:dyDescent="0.25">
      <c r="A27" s="82"/>
      <c r="B27" s="108" t="s">
        <v>52</v>
      </c>
      <c r="C27" s="111">
        <f>ROUND(MAX(O21:O920),0)</f>
        <v>49210</v>
      </c>
      <c r="D27" s="112">
        <f>ROUND(O19,0)</f>
        <v>4940670</v>
      </c>
      <c r="E27" s="112">
        <f>ROUND(P19,0)</f>
        <v>10722761</v>
      </c>
      <c r="F27" s="77">
        <f>ROUND(P18,0)</f>
        <v>722761</v>
      </c>
      <c r="G27" s="82"/>
      <c r="H27" s="1"/>
      <c r="I27" s="1"/>
      <c r="J27" s="1"/>
      <c r="K27" s="1"/>
      <c r="L27" s="1"/>
      <c r="M27" s="45">
        <f t="shared" si="13"/>
        <v>0</v>
      </c>
      <c r="N27" s="36">
        <v>7</v>
      </c>
      <c r="O27" s="91">
        <f t="shared" si="7"/>
        <v>12958.461646175903</v>
      </c>
      <c r="P27" s="38">
        <f t="shared" si="8"/>
        <v>67021.597667294656</v>
      </c>
      <c r="W27" s="26">
        <f t="shared" si="9"/>
        <v>22782.158346845899</v>
      </c>
      <c r="X27" s="5">
        <f t="shared" si="10"/>
        <v>117830.08603999675</v>
      </c>
      <c r="Y27" s="5"/>
      <c r="AA27" s="63">
        <f t="shared" si="11"/>
        <v>12958.461646175903</v>
      </c>
      <c r="AB27" s="5">
        <f t="shared" si="12"/>
        <v>67021.597667294656</v>
      </c>
      <c r="AP27" s="3">
        <v>14</v>
      </c>
      <c r="AR27" s="14">
        <f t="shared" si="3"/>
        <v>0</v>
      </c>
      <c r="AS27" s="17" t="e">
        <f>IF(OR(AS26=0,AS26&gt;=#REF!),0,FV($O$1,AP27,-#REF!,0,1))</f>
        <v>#REF!</v>
      </c>
      <c r="AU27" s="5">
        <f t="shared" si="4"/>
        <v>110292.42396360423</v>
      </c>
      <c r="AW27" s="26">
        <f t="shared" si="1"/>
        <v>0</v>
      </c>
      <c r="AX27" s="26">
        <f t="shared" si="2"/>
        <v>0</v>
      </c>
      <c r="AY27" s="11" cm="1">
        <f t="array" ref="AY27">IF(AX27=0,IF(AW27&gt;0,INDEX($AU$13:$AU$611,AW27*12),0),INDEX($AU$13:$AU$611,AW27*12+AX27))</f>
        <v>0</v>
      </c>
      <c r="AZ27" s="11">
        <f t="shared" si="5"/>
        <v>0</v>
      </c>
      <c r="BA27" s="11">
        <f t="shared" si="6"/>
        <v>0</v>
      </c>
      <c r="BB27" s="37">
        <f t="shared" si="0"/>
        <v>0</v>
      </c>
    </row>
    <row r="28" spans="1:57" x14ac:dyDescent="0.25">
      <c r="A28" s="82"/>
      <c r="B28" s="82"/>
      <c r="C28" s="82"/>
      <c r="D28" s="82"/>
      <c r="E28" s="82"/>
      <c r="F28" s="82"/>
      <c r="G28" s="82"/>
      <c r="H28" s="1"/>
      <c r="I28" s="1"/>
      <c r="J28" s="1"/>
      <c r="K28" s="1"/>
      <c r="L28" s="1"/>
      <c r="M28" s="45">
        <f t="shared" si="13"/>
        <v>0</v>
      </c>
      <c r="N28" s="36">
        <v>8</v>
      </c>
      <c r="O28" s="91">
        <f t="shared" si="7"/>
        <v>12958.461646175903</v>
      </c>
      <c r="P28" s="38">
        <f t="shared" si="8"/>
        <v>66391.621319997939</v>
      </c>
      <c r="W28" s="26">
        <f t="shared" si="9"/>
        <v>22782.158346845899</v>
      </c>
      <c r="X28" s="5">
        <f t="shared" si="10"/>
        <v>116722.53012087908</v>
      </c>
      <c r="Y28" s="5"/>
      <c r="AA28" s="63">
        <f t="shared" si="11"/>
        <v>12958.461646175903</v>
      </c>
      <c r="AB28" s="5">
        <f t="shared" si="12"/>
        <v>66391.621319997939</v>
      </c>
      <c r="AP28" s="3">
        <v>15</v>
      </c>
      <c r="AR28" s="14">
        <f t="shared" si="3"/>
        <v>0</v>
      </c>
      <c r="AS28" s="17" t="e">
        <f>IF(OR(AS27=0,AS27&gt;=#REF!),0,FV($O$1,AP28,-#REF!,0,1))</f>
        <v>#REF!</v>
      </c>
      <c r="AU28" s="5">
        <f t="shared" si="4"/>
        <v>109255.7190684448</v>
      </c>
      <c r="AW28" s="26">
        <f t="shared" si="1"/>
        <v>0</v>
      </c>
      <c r="AX28" s="26">
        <f t="shared" si="2"/>
        <v>0</v>
      </c>
      <c r="AY28" s="11" cm="1">
        <f t="array" ref="AY28">IF(AX28=0,IF(AW28&gt;0,INDEX($AU$13:$AU$611,AW28*12),0),INDEX($AU$13:$AU$611,AW28*12+AX28))</f>
        <v>0</v>
      </c>
      <c r="AZ28" s="11">
        <f t="shared" si="5"/>
        <v>0</v>
      </c>
      <c r="BA28" s="11">
        <f t="shared" si="6"/>
        <v>0</v>
      </c>
      <c r="BB28" s="37">
        <f t="shared" si="0"/>
        <v>0</v>
      </c>
    </row>
    <row r="29" spans="1:57" ht="13.8" thickBot="1" x14ac:dyDescent="0.3">
      <c r="A29" s="82"/>
      <c r="B29" s="70" t="s">
        <v>53</v>
      </c>
      <c r="C29" s="72"/>
      <c r="D29" s="81" t="s">
        <v>60</v>
      </c>
      <c r="E29" s="81" t="s">
        <v>71</v>
      </c>
      <c r="F29" s="81" t="s">
        <v>59</v>
      </c>
      <c r="G29" s="82"/>
      <c r="H29" s="1"/>
      <c r="I29" s="1"/>
      <c r="J29" s="1"/>
      <c r="K29" s="1"/>
      <c r="L29" s="1"/>
      <c r="M29" s="45">
        <f t="shared" si="13"/>
        <v>0</v>
      </c>
      <c r="N29" s="36">
        <v>9</v>
      </c>
      <c r="O29" s="91">
        <f t="shared" si="7"/>
        <v>12958.461646175903</v>
      </c>
      <c r="P29" s="38">
        <f t="shared" si="8"/>
        <v>65767.566499671157</v>
      </c>
      <c r="R29" s="134" t="s">
        <v>43</v>
      </c>
      <c r="S29" s="134"/>
      <c r="W29" s="26">
        <f t="shared" si="9"/>
        <v>22782.158346845899</v>
      </c>
      <c r="X29" s="5">
        <f t="shared" si="10"/>
        <v>115625.38478665703</v>
      </c>
      <c r="Y29" s="5"/>
      <c r="Z29" s="15"/>
      <c r="AA29" s="63">
        <f t="shared" si="11"/>
        <v>12958.461646175903</v>
      </c>
      <c r="AB29" s="5">
        <f t="shared" si="12"/>
        <v>65767.566499671157</v>
      </c>
      <c r="AP29" s="3">
        <v>16</v>
      </c>
      <c r="AR29" s="14">
        <f t="shared" si="3"/>
        <v>0</v>
      </c>
      <c r="AS29" s="17" t="e">
        <f>IF(OR(AS28=0,AS28&gt;=#REF!),0,FV($O$1,AP29,-#REF!,0,1))</f>
        <v>#REF!</v>
      </c>
      <c r="AU29" s="5">
        <f t="shared" si="4"/>
        <v>108228.75878675036</v>
      </c>
      <c r="AW29" s="26">
        <f t="shared" si="1"/>
        <v>0</v>
      </c>
      <c r="AX29" s="26">
        <f t="shared" si="2"/>
        <v>0</v>
      </c>
      <c r="AY29" s="11" cm="1">
        <f t="array" ref="AY29">IF(AX29=0,IF(AW29&gt;0,INDEX($AU$13:$AU$611,AW29*12),0),INDEX($AU$13:$AU$611,AW29*12+AX29))</f>
        <v>0</v>
      </c>
      <c r="AZ29" s="11">
        <f t="shared" si="5"/>
        <v>0</v>
      </c>
      <c r="BA29" s="11">
        <f t="shared" si="6"/>
        <v>0</v>
      </c>
      <c r="BB29" s="37">
        <f t="shared" si="0"/>
        <v>0</v>
      </c>
    </row>
    <row r="30" spans="1:57" ht="13.8" thickBot="1" x14ac:dyDescent="0.3">
      <c r="A30" s="82"/>
      <c r="B30" s="82" t="s">
        <v>65</v>
      </c>
      <c r="C30" s="96">
        <v>0</v>
      </c>
      <c r="D30" s="83"/>
      <c r="E30" s="130">
        <f>ROUND(X1,0)</f>
        <v>0</v>
      </c>
      <c r="F30" s="84">
        <f>IF(D20="Excess",0,Y1)</f>
        <v>0</v>
      </c>
      <c r="G30" s="82"/>
      <c r="H30" s="1"/>
      <c r="I30" s="1"/>
      <c r="J30" s="1"/>
      <c r="K30" s="1"/>
      <c r="L30" s="1"/>
      <c r="M30" s="45">
        <f t="shared" si="13"/>
        <v>0</v>
      </c>
      <c r="N30" s="36">
        <v>10</v>
      </c>
      <c r="O30" s="91">
        <f t="shared" si="7"/>
        <v>12958.461646175903</v>
      </c>
      <c r="P30" s="38">
        <f t="shared" si="8"/>
        <v>65149.37754631717</v>
      </c>
      <c r="R30" s="3">
        <v>0</v>
      </c>
      <c r="S30" s="38">
        <v>22782.158346845845</v>
      </c>
      <c r="W30" s="26">
        <f t="shared" si="9"/>
        <v>22782.158346845899</v>
      </c>
      <c r="X30" s="5">
        <f t="shared" si="10"/>
        <v>114538.55218197532</v>
      </c>
      <c r="Y30" s="5"/>
      <c r="AA30" s="63">
        <f t="shared" si="11"/>
        <v>12958.461646175903</v>
      </c>
      <c r="AB30" s="5">
        <f t="shared" si="12"/>
        <v>65149.37754631717</v>
      </c>
      <c r="AP30" s="3">
        <v>17</v>
      </c>
      <c r="AR30" s="14">
        <f t="shared" si="3"/>
        <v>0</v>
      </c>
      <c r="AS30" s="17" t="e">
        <f>IF(OR(AS29=0,AS29&gt;=#REF!),0,FV($O$1,AP30,-#REF!,0,1))</f>
        <v>#REF!</v>
      </c>
      <c r="AU30" s="5">
        <f t="shared" si="4"/>
        <v>107211.45152303223</v>
      </c>
      <c r="AW30" s="26">
        <f t="shared" si="1"/>
        <v>0</v>
      </c>
      <c r="AX30" s="26">
        <f t="shared" si="2"/>
        <v>0</v>
      </c>
      <c r="AY30" s="11" cm="1">
        <f t="array" ref="AY30">IF(AX30=0,IF(AW30&gt;0,INDEX($AU$13:$AU$611,AW30*12),0),INDEX($AU$13:$AU$611,AW30*12+AX30))</f>
        <v>0</v>
      </c>
      <c r="AZ30" s="11">
        <f t="shared" si="5"/>
        <v>0</v>
      </c>
      <c r="BA30" s="11">
        <f t="shared" si="6"/>
        <v>0</v>
      </c>
      <c r="BB30" s="37">
        <f t="shared" si="0"/>
        <v>0</v>
      </c>
    </row>
    <row r="31" spans="1:57" ht="13.8" thickBot="1" x14ac:dyDescent="0.3">
      <c r="A31" s="82"/>
      <c r="B31" s="120" t="s">
        <v>69</v>
      </c>
      <c r="C31" s="121">
        <f>ROUND(X18,0)</f>
        <v>22782</v>
      </c>
      <c r="D31" s="122">
        <f>ROUND(Y18,0)</f>
        <v>4100789</v>
      </c>
      <c r="E31" s="122">
        <f>ROUND(X19,0)</f>
        <v>10842744</v>
      </c>
      <c r="F31" s="95">
        <f>ROUND(Y19,0)</f>
        <v>842744</v>
      </c>
      <c r="G31" s="82"/>
      <c r="H31" s="1"/>
      <c r="I31" s="1"/>
      <c r="J31" s="1"/>
      <c r="K31" s="1"/>
      <c r="L31" s="1"/>
      <c r="M31" s="45">
        <f t="shared" si="13"/>
        <v>0</v>
      </c>
      <c r="N31" s="36">
        <v>11</v>
      </c>
      <c r="O31" s="91">
        <f t="shared" si="7"/>
        <v>12958.461646175903</v>
      </c>
      <c r="P31" s="38">
        <f t="shared" si="8"/>
        <v>64536.999323120748</v>
      </c>
      <c r="R31" s="3" t="s">
        <v>41</v>
      </c>
      <c r="S31" s="93">
        <f>FV(SIPRate,GoalYears*12,-S30,0,1)</f>
        <v>10842744.499652537</v>
      </c>
      <c r="W31" s="26">
        <f t="shared" si="9"/>
        <v>22782.158346845899</v>
      </c>
      <c r="X31" s="5">
        <f t="shared" si="10"/>
        <v>113461.9353712802</v>
      </c>
      <c r="Y31" s="5"/>
      <c r="AA31" s="63">
        <f t="shared" si="11"/>
        <v>12958.461646175903</v>
      </c>
      <c r="AB31" s="5">
        <f t="shared" si="12"/>
        <v>64536.999323120748</v>
      </c>
      <c r="AP31" s="3">
        <v>18</v>
      </c>
      <c r="AR31" s="14">
        <f t="shared" si="3"/>
        <v>0</v>
      </c>
      <c r="AS31" s="17" t="e">
        <f>IF(OR(AS30=0,AS30&gt;=#REF!),0,FV($O$1,AP31,-#REF!,0,1))</f>
        <v>#REF!</v>
      </c>
      <c r="AU31" s="5">
        <f t="shared" si="4"/>
        <v>106203.70654276272</v>
      </c>
      <c r="AW31" s="26">
        <f t="shared" si="1"/>
        <v>0</v>
      </c>
      <c r="AX31" s="26">
        <f t="shared" si="2"/>
        <v>0</v>
      </c>
      <c r="AY31" s="11" cm="1">
        <f t="array" ref="AY31">IF(AX31=0,IF(AW31&gt;0,INDEX($AU$13:$AU$611,AW31*12),0),INDEX($AU$13:$AU$611,AW31*12+AX31))</f>
        <v>0</v>
      </c>
      <c r="AZ31" s="11">
        <f t="shared" si="5"/>
        <v>0</v>
      </c>
      <c r="BA31" s="11">
        <f t="shared" si="6"/>
        <v>0</v>
      </c>
      <c r="BB31" s="37">
        <f t="shared" si="0"/>
        <v>0</v>
      </c>
    </row>
    <row r="32" spans="1:57" x14ac:dyDescent="0.25">
      <c r="A32" s="82"/>
      <c r="B32" s="113" t="s">
        <v>27</v>
      </c>
      <c r="C32" s="57">
        <v>0.1</v>
      </c>
      <c r="D32" s="85"/>
      <c r="E32" s="85"/>
      <c r="F32" s="86"/>
      <c r="G32" s="82"/>
      <c r="H32" s="1"/>
      <c r="I32" s="1"/>
      <c r="J32" s="1"/>
      <c r="K32" s="1"/>
      <c r="L32" s="1"/>
      <c r="M32" s="45">
        <f t="shared" si="13"/>
        <v>0</v>
      </c>
      <c r="N32" s="36">
        <v>12</v>
      </c>
      <c r="O32" s="91">
        <f t="shared" si="7"/>
        <v>12958.461646175903</v>
      </c>
      <c r="P32" s="38">
        <f t="shared" si="8"/>
        <v>63930.377211530737</v>
      </c>
      <c r="R32" s="3" t="s">
        <v>44</v>
      </c>
      <c r="S32" s="5">
        <f>S30*GoalYears*12</f>
        <v>4100788.5024322523</v>
      </c>
      <c r="W32" s="26">
        <f t="shared" si="9"/>
        <v>22782.158346845899</v>
      </c>
      <c r="X32" s="5">
        <f t="shared" si="10"/>
        <v>112395.43833017346</v>
      </c>
      <c r="Y32" s="5"/>
      <c r="AA32" s="63">
        <f t="shared" si="11"/>
        <v>12958.461646175903</v>
      </c>
      <c r="AB32" s="5">
        <f t="shared" si="12"/>
        <v>63930.377211530737</v>
      </c>
      <c r="AP32" s="3">
        <v>19</v>
      </c>
      <c r="AR32" s="14">
        <f t="shared" si="3"/>
        <v>0</v>
      </c>
      <c r="AS32" s="17" t="e">
        <f>IF(OR(AS31=0,AS31&gt;=#REF!),0,FV($O$1,AP32,-#REF!,0,1))</f>
        <v>#REF!</v>
      </c>
      <c r="AU32" s="5">
        <f t="shared" si="4"/>
        <v>105205.43396428268</v>
      </c>
      <c r="AW32" s="26">
        <f t="shared" si="1"/>
        <v>0</v>
      </c>
      <c r="AX32" s="26">
        <f t="shared" si="2"/>
        <v>0</v>
      </c>
      <c r="AY32" s="11" cm="1">
        <f t="array" ref="AY32">IF(AX32=0,IF(AW32&gt;0,INDEX($AU$13:$AU$611,AW32*12),0),INDEX($AU$13:$AU$611,AW32*12+AX32))</f>
        <v>0</v>
      </c>
      <c r="AZ32" s="11">
        <f t="shared" si="5"/>
        <v>0</v>
      </c>
      <c r="BA32" s="11">
        <f t="shared" si="6"/>
        <v>0</v>
      </c>
      <c r="BB32" s="37">
        <f t="shared" si="0"/>
        <v>0</v>
      </c>
    </row>
    <row r="33" spans="1:54" x14ac:dyDescent="0.25">
      <c r="A33" s="82"/>
      <c r="B33" s="114" t="s">
        <v>51</v>
      </c>
      <c r="C33" s="116">
        <f>ROUND(AB18,0)</f>
        <v>12958</v>
      </c>
      <c r="D33" s="117"/>
      <c r="E33" s="117"/>
      <c r="F33" s="87"/>
      <c r="G33" s="82"/>
      <c r="H33" s="1"/>
      <c r="I33" s="1"/>
      <c r="J33" s="1"/>
      <c r="K33" s="1"/>
      <c r="L33" s="1"/>
      <c r="M33" s="45">
        <f t="shared" si="13"/>
        <v>1</v>
      </c>
      <c r="N33" s="36">
        <v>13</v>
      </c>
      <c r="O33" s="91">
        <f t="shared" si="7"/>
        <v>14254.307810793494</v>
      </c>
      <c r="P33" s="38">
        <f t="shared" si="8"/>
        <v>69662.402817027527</v>
      </c>
      <c r="R33" s="3" t="s">
        <v>30</v>
      </c>
      <c r="S33" s="5">
        <f>(S31-S32)*CapGainTax</f>
        <v>842744.49965253554</v>
      </c>
      <c r="W33" s="26">
        <f t="shared" si="9"/>
        <v>22782.158346845899</v>
      </c>
      <c r="X33" s="5">
        <f t="shared" si="10"/>
        <v>111338.96593684812</v>
      </c>
      <c r="Y33" s="5"/>
      <c r="AA33" s="63">
        <f t="shared" si="11"/>
        <v>14254.307810793494</v>
      </c>
      <c r="AB33" s="5">
        <f t="shared" si="12"/>
        <v>69662.402817027527</v>
      </c>
      <c r="AP33" s="3">
        <v>20</v>
      </c>
      <c r="AR33" s="14">
        <f t="shared" si="3"/>
        <v>0</v>
      </c>
      <c r="AS33" s="17" t="e">
        <f>IF(OR(AS32=0,AS32&gt;=#REF!),0,FV($O$1,AP33,-#REF!,0,1))</f>
        <v>#REF!</v>
      </c>
      <c r="AU33" s="5">
        <f t="shared" si="4"/>
        <v>104216.54475078477</v>
      </c>
      <c r="AW33" s="26">
        <f t="shared" si="1"/>
        <v>0</v>
      </c>
      <c r="AX33" s="26">
        <f t="shared" si="2"/>
        <v>0</v>
      </c>
      <c r="AY33" s="11" cm="1">
        <f t="array" ref="AY33">IF(AX33=0,IF(AW33&gt;0,INDEX($AU$13:$AU$611,AW33*12),0),INDEX($AU$13:$AU$611,AW33*12+AX33))</f>
        <v>0</v>
      </c>
      <c r="AZ33" s="11">
        <f t="shared" si="5"/>
        <v>0</v>
      </c>
      <c r="BA33" s="11">
        <f t="shared" si="6"/>
        <v>0</v>
      </c>
      <c r="BB33" s="37">
        <f t="shared" si="0"/>
        <v>0</v>
      </c>
    </row>
    <row r="34" spans="1:54" x14ac:dyDescent="0.25">
      <c r="A34" s="82"/>
      <c r="B34" s="115" t="s">
        <v>52</v>
      </c>
      <c r="C34" s="118">
        <f>ROUND(MAX(AA21:AA920),0)</f>
        <v>49210</v>
      </c>
      <c r="D34" s="119">
        <f>ROUND(AC18,0)</f>
        <v>4940670</v>
      </c>
      <c r="E34" s="119">
        <f>ROUND(AB19,0)</f>
        <v>10722761</v>
      </c>
      <c r="F34" s="88">
        <f>ROUND(AC19,0)</f>
        <v>722761</v>
      </c>
      <c r="G34" s="82"/>
      <c r="H34" s="1"/>
      <c r="I34" s="1"/>
      <c r="J34" s="1"/>
      <c r="K34" s="1"/>
      <c r="L34" s="1"/>
      <c r="M34" s="45">
        <f t="shared" si="13"/>
        <v>1</v>
      </c>
      <c r="N34" s="36">
        <v>14</v>
      </c>
      <c r="O34" s="91">
        <f t="shared" si="7"/>
        <v>14254.307810793494</v>
      </c>
      <c r="P34" s="38">
        <f t="shared" si="8"/>
        <v>69007.603952213263</v>
      </c>
      <c r="R34" s="3" t="s">
        <v>40</v>
      </c>
      <c r="S34" s="52">
        <f>S31-S33-Q12</f>
        <v>0</v>
      </c>
      <c r="W34" s="26">
        <f t="shared" si="9"/>
        <v>22782.158346845899</v>
      </c>
      <c r="X34" s="5">
        <f t="shared" si="10"/>
        <v>110292.42396360423</v>
      </c>
      <c r="Y34" s="5"/>
      <c r="AA34" s="63">
        <f t="shared" si="11"/>
        <v>14254.307810793494</v>
      </c>
      <c r="AB34" s="5">
        <f t="shared" si="12"/>
        <v>69007.603952213263</v>
      </c>
      <c r="AP34" s="3">
        <v>21</v>
      </c>
      <c r="AR34" s="14">
        <f t="shared" si="3"/>
        <v>0</v>
      </c>
      <c r="AS34" s="17" t="e">
        <f>IF(OR(AS33=0,AS33&gt;=#REF!),0,FV($O$1,AP34,-#REF!,0,1))</f>
        <v>#REF!</v>
      </c>
      <c r="AU34" s="5">
        <f t="shared" si="4"/>
        <v>103236.95070237221</v>
      </c>
      <c r="AW34" s="26">
        <f t="shared" si="1"/>
        <v>0</v>
      </c>
      <c r="AX34" s="26">
        <f t="shared" si="2"/>
        <v>0</v>
      </c>
      <c r="AY34" s="11" cm="1">
        <f t="array" ref="AY34">IF(AX34=0,IF(AW34&gt;0,INDEX($AU$13:$AU$611,AW34*12),0),INDEX($AU$13:$AU$611,AW34*12+AX34))</f>
        <v>0</v>
      </c>
      <c r="AZ34" s="11">
        <f t="shared" si="5"/>
        <v>0</v>
      </c>
      <c r="BA34" s="11">
        <f t="shared" si="6"/>
        <v>0</v>
      </c>
      <c r="BB34" s="37">
        <f t="shared" si="0"/>
        <v>0</v>
      </c>
    </row>
    <row r="35" spans="1:54" x14ac:dyDescent="0.25">
      <c r="A35" s="82"/>
      <c r="B35" s="82"/>
      <c r="C35" s="82"/>
      <c r="D35" s="82"/>
      <c r="E35" s="82"/>
      <c r="F35" s="82"/>
      <c r="G35" s="82"/>
      <c r="H35" s="1"/>
      <c r="I35" s="1"/>
      <c r="J35" s="1"/>
      <c r="K35" s="1"/>
      <c r="L35" s="1"/>
      <c r="M35" s="45">
        <f t="shared" si="13"/>
        <v>1</v>
      </c>
      <c r="N35" s="36">
        <v>15</v>
      </c>
      <c r="O35" s="91">
        <f t="shared" si="7"/>
        <v>14254.307810793494</v>
      </c>
      <c r="P35" s="38">
        <f t="shared" si="8"/>
        <v>68358.959936155632</v>
      </c>
      <c r="W35" s="26">
        <f t="shared" si="9"/>
        <v>22782.158346845899</v>
      </c>
      <c r="X35" s="5">
        <f t="shared" si="10"/>
        <v>109255.7190684448</v>
      </c>
      <c r="Y35" s="5"/>
      <c r="AA35" s="63">
        <f t="shared" si="11"/>
        <v>14254.307810793494</v>
      </c>
      <c r="AB35" s="5">
        <f t="shared" si="12"/>
        <v>68358.959936155632</v>
      </c>
      <c r="AP35" s="3">
        <v>22</v>
      </c>
      <c r="AR35" s="14">
        <f t="shared" si="3"/>
        <v>0</v>
      </c>
      <c r="AS35" s="17" t="e">
        <f>IF(OR(AS34=0,AS34&gt;=#REF!),0,FV($O$1,AP35,-#REF!,0,1))</f>
        <v>#REF!</v>
      </c>
      <c r="AU35" s="5">
        <f t="shared" si="4"/>
        <v>102266.56444819212</v>
      </c>
      <c r="AW35" s="26">
        <f t="shared" si="1"/>
        <v>0</v>
      </c>
      <c r="AX35" s="26">
        <f t="shared" si="2"/>
        <v>0</v>
      </c>
      <c r="AY35" s="11" cm="1">
        <f t="array" ref="AY35">IF(AX35=0,IF(AW35&gt;0,INDEX($AU$13:$AU$611,AW35*12),0),INDEX($AU$13:$AU$611,AW35*12+AX35))</f>
        <v>0</v>
      </c>
      <c r="AZ35" s="11">
        <f t="shared" si="5"/>
        <v>0</v>
      </c>
      <c r="BA35" s="11">
        <f t="shared" si="6"/>
        <v>0</v>
      </c>
      <c r="BB35" s="37">
        <f t="shared" si="0"/>
        <v>0</v>
      </c>
    </row>
    <row r="36" spans="1:54" x14ac:dyDescent="0.25">
      <c r="A36" s="82"/>
      <c r="B36" s="100" t="s">
        <v>3</v>
      </c>
      <c r="C36" s="101" t="s">
        <v>76</v>
      </c>
      <c r="D36" s="82"/>
      <c r="E36" s="82"/>
      <c r="F36" s="82"/>
      <c r="G36" s="82"/>
      <c r="H36" s="1"/>
      <c r="I36" s="1"/>
      <c r="J36" s="1"/>
      <c r="K36" s="1"/>
      <c r="L36" s="1"/>
      <c r="M36" s="45">
        <f t="shared" si="13"/>
        <v>1</v>
      </c>
      <c r="N36" s="36">
        <v>16</v>
      </c>
      <c r="O36" s="91">
        <f t="shared" si="7"/>
        <v>14254.307810793494</v>
      </c>
      <c r="P36" s="38">
        <f t="shared" si="8"/>
        <v>67716.412915725567</v>
      </c>
      <c r="W36" s="26">
        <f t="shared" si="9"/>
        <v>22782.158346845899</v>
      </c>
      <c r="X36" s="5">
        <f t="shared" si="10"/>
        <v>108228.75878675036</v>
      </c>
      <c r="Y36" s="5"/>
      <c r="AA36" s="63">
        <f t="shared" si="11"/>
        <v>14254.307810793494</v>
      </c>
      <c r="AB36" s="5">
        <f t="shared" si="12"/>
        <v>67716.412915725567</v>
      </c>
      <c r="AP36" s="3">
        <v>23</v>
      </c>
      <c r="AR36" s="14">
        <f t="shared" si="3"/>
        <v>0</v>
      </c>
      <c r="AS36" s="17" t="e">
        <f>IF(OR(AS35=0,AS35&gt;=#REF!),0,FV($O$1,AP36,-#REF!,0,1))</f>
        <v>#REF!</v>
      </c>
      <c r="AU36" s="5">
        <f t="shared" si="4"/>
        <v>101305.29943864289</v>
      </c>
      <c r="AW36" s="26">
        <f t="shared" si="1"/>
        <v>0</v>
      </c>
      <c r="AX36" s="26">
        <f t="shared" si="2"/>
        <v>0</v>
      </c>
      <c r="AY36" s="11" cm="1">
        <f t="array" ref="AY36">IF(AX36=0,IF(AW36&gt;0,INDEX($AU$13:$AU$611,AW36*12),0),INDEX($AU$13:$AU$611,AW36*12+AX36))</f>
        <v>0</v>
      </c>
      <c r="AZ36" s="11">
        <f t="shared" si="5"/>
        <v>0</v>
      </c>
      <c r="BA36" s="11">
        <f t="shared" si="6"/>
        <v>0</v>
      </c>
      <c r="BB36" s="37">
        <f t="shared" si="0"/>
        <v>0</v>
      </c>
    </row>
    <row r="37" spans="1:54" x14ac:dyDescent="0.25">
      <c r="A37" s="82"/>
      <c r="B37" s="82"/>
      <c r="C37" s="82"/>
      <c r="D37" s="82"/>
      <c r="E37" s="82"/>
      <c r="F37" s="82"/>
      <c r="G37" s="82"/>
      <c r="H37" s="1"/>
      <c r="I37" s="1"/>
      <c r="J37" s="1"/>
      <c r="K37" s="1"/>
      <c r="L37" s="1"/>
      <c r="M37" s="45">
        <f t="shared" si="13"/>
        <v>1</v>
      </c>
      <c r="N37" s="36">
        <v>17</v>
      </c>
      <c r="O37" s="91">
        <f t="shared" si="7"/>
        <v>14254.307810793494</v>
      </c>
      <c r="P37" s="38">
        <f t="shared" si="8"/>
        <v>67079.905581590472</v>
      </c>
      <c r="W37" s="26">
        <f t="shared" si="9"/>
        <v>22782.158346845899</v>
      </c>
      <c r="X37" s="5">
        <f t="shared" si="10"/>
        <v>107211.45152303223</v>
      </c>
      <c r="Y37" s="5"/>
      <c r="AA37" s="63">
        <f t="shared" si="11"/>
        <v>14254.307810793494</v>
      </c>
      <c r="AB37" s="5">
        <f t="shared" si="12"/>
        <v>67079.905581590472</v>
      </c>
      <c r="AP37" s="3">
        <v>24</v>
      </c>
      <c r="AR37" s="14">
        <f t="shared" si="3"/>
        <v>0</v>
      </c>
      <c r="AS37" s="17" t="e">
        <f>IF(OR(AS36=0,AS36&gt;=#REF!),0,FV($O$1,AP37,-#REF!,0,1))</f>
        <v>#REF!</v>
      </c>
      <c r="AU37" s="5">
        <f t="shared" si="4"/>
        <v>100353.06993765474</v>
      </c>
      <c r="AW37" s="26">
        <f t="shared" si="1"/>
        <v>0</v>
      </c>
      <c r="AX37" s="26">
        <f t="shared" si="2"/>
        <v>0</v>
      </c>
      <c r="AY37" s="11" cm="1">
        <f t="array" ref="AY37">IF(AX37=0,IF(AW37&gt;0,INDEX($AU$13:$AU$611,AW37*12),0),INDEX($AU$13:$AU$611,AW37*12+AX37))</f>
        <v>0</v>
      </c>
      <c r="AZ37" s="11">
        <f t="shared" si="5"/>
        <v>0</v>
      </c>
      <c r="BA37" s="11">
        <f t="shared" si="6"/>
        <v>0</v>
      </c>
      <c r="BB37" s="37">
        <f t="shared" si="0"/>
        <v>0</v>
      </c>
    </row>
    <row r="38" spans="1:54" hidden="1" x14ac:dyDescent="0.25">
      <c r="A38" s="82"/>
      <c r="B38" s="82"/>
      <c r="C38" s="82"/>
      <c r="D38" s="82"/>
      <c r="E38" s="82"/>
      <c r="F38" s="82"/>
      <c r="G38" s="82"/>
      <c r="H38" s="1"/>
      <c r="I38" s="1"/>
      <c r="J38" s="1"/>
      <c r="K38" s="1"/>
      <c r="L38" s="1"/>
      <c r="M38" s="45">
        <f t="shared" si="13"/>
        <v>1</v>
      </c>
      <c r="N38" s="36">
        <v>18</v>
      </c>
      <c r="O38" s="91">
        <f t="shared" si="7"/>
        <v>14254.307810793494</v>
      </c>
      <c r="P38" s="38">
        <f t="shared" si="8"/>
        <v>66449.381163102618</v>
      </c>
      <c r="W38" s="26">
        <f t="shared" si="9"/>
        <v>22782.158346845899</v>
      </c>
      <c r="X38" s="5">
        <f t="shared" si="10"/>
        <v>106203.70654276272</v>
      </c>
      <c r="Y38" s="5"/>
      <c r="AA38" s="63">
        <f t="shared" si="11"/>
        <v>14254.307810793494</v>
      </c>
      <c r="AB38" s="5">
        <f t="shared" si="12"/>
        <v>66449.381163102618</v>
      </c>
      <c r="AP38" s="3">
        <v>25</v>
      </c>
      <c r="AR38" s="14">
        <f t="shared" si="3"/>
        <v>0</v>
      </c>
      <c r="AS38" s="17" t="e">
        <f>IF(OR(AS37=0,AS37&gt;=#REF!),0,FV($O$1,AP38,-#REF!,0,1))</f>
        <v>#REF!</v>
      </c>
      <c r="AU38" s="5">
        <f t="shared" si="4"/>
        <v>99409.791015042836</v>
      </c>
      <c r="AW38" s="26">
        <f t="shared" si="1"/>
        <v>0</v>
      </c>
      <c r="AX38" s="26">
        <f t="shared" si="2"/>
        <v>0</v>
      </c>
      <c r="AY38" s="11" cm="1">
        <f t="array" ref="AY38">IF(AX38=0,IF(AW38&gt;0,INDEX($AU$13:$AU$611,AW38*12),0),INDEX($AU$13:$AU$611,AW38*12+AX38))</f>
        <v>0</v>
      </c>
      <c r="AZ38" s="11">
        <f t="shared" si="5"/>
        <v>0</v>
      </c>
      <c r="BA38" s="11">
        <f t="shared" si="6"/>
        <v>0</v>
      </c>
      <c r="BB38" s="37">
        <f t="shared" si="0"/>
        <v>0</v>
      </c>
    </row>
    <row r="39" spans="1:54" hidden="1" x14ac:dyDescent="0.25">
      <c r="H39" s="1"/>
      <c r="I39" s="1"/>
      <c r="J39" s="1"/>
      <c r="K39" s="1"/>
      <c r="L39" s="1"/>
      <c r="M39" s="45">
        <f t="shared" si="13"/>
        <v>1</v>
      </c>
      <c r="N39" s="36">
        <v>19</v>
      </c>
      <c r="O39" s="91">
        <f t="shared" si="7"/>
        <v>14254.307810793494</v>
      </c>
      <c r="P39" s="38">
        <f t="shared" si="8"/>
        <v>65824.783423235742</v>
      </c>
      <c r="W39" s="26">
        <f t="shared" si="9"/>
        <v>22782.158346845899</v>
      </c>
      <c r="X39" s="5">
        <f t="shared" si="10"/>
        <v>105205.43396428268</v>
      </c>
      <c r="Y39" s="5"/>
      <c r="AA39" s="63">
        <f t="shared" si="11"/>
        <v>14254.307810793494</v>
      </c>
      <c r="AB39" s="5">
        <f t="shared" si="12"/>
        <v>65824.783423235742</v>
      </c>
      <c r="AP39" s="3">
        <v>26</v>
      </c>
      <c r="AR39" s="14">
        <f t="shared" si="3"/>
        <v>0</v>
      </c>
      <c r="AS39" s="17" t="e">
        <f>IF(OR(AS38=0,AS38&gt;=#REF!),0,FV($O$1,AP39,-#REF!,0,1))</f>
        <v>#REF!</v>
      </c>
      <c r="AU39" s="5">
        <f t="shared" si="4"/>
        <v>98475.378538932229</v>
      </c>
      <c r="AW39" s="26">
        <f t="shared" si="1"/>
        <v>0</v>
      </c>
      <c r="AX39" s="26">
        <f t="shared" si="2"/>
        <v>0</v>
      </c>
      <c r="AY39" s="11" cm="1">
        <f t="array" ref="AY39">IF(AX39=0,IF(AW39&gt;0,INDEX($AU$13:$AU$611,AW39*12),0),INDEX($AU$13:$AU$611,AW39*12+AX39))</f>
        <v>0</v>
      </c>
      <c r="AZ39" s="11">
        <f t="shared" si="5"/>
        <v>0</v>
      </c>
      <c r="BA39" s="11">
        <f t="shared" si="6"/>
        <v>0</v>
      </c>
      <c r="BB39" s="37">
        <f t="shared" si="0"/>
        <v>0</v>
      </c>
    </row>
    <row r="40" spans="1:54" hidden="1" x14ac:dyDescent="0.25">
      <c r="H40" s="1"/>
      <c r="I40" s="1"/>
      <c r="J40" s="1"/>
      <c r="K40" s="1"/>
      <c r="L40" s="1"/>
      <c r="M40" s="45">
        <f t="shared" si="13"/>
        <v>1</v>
      </c>
      <c r="N40" s="36">
        <v>20</v>
      </c>
      <c r="O40" s="91">
        <f t="shared" si="7"/>
        <v>14254.307810793494</v>
      </c>
      <c r="P40" s="38">
        <f t="shared" si="8"/>
        <v>65206.056653569329</v>
      </c>
      <c r="W40" s="26">
        <f t="shared" si="9"/>
        <v>22782.158346845899</v>
      </c>
      <c r="X40" s="5">
        <f t="shared" si="10"/>
        <v>104216.54475078477</v>
      </c>
      <c r="Y40" s="5"/>
      <c r="AA40" s="63">
        <f t="shared" si="11"/>
        <v>14254.307810793494</v>
      </c>
      <c r="AB40" s="5">
        <f t="shared" si="12"/>
        <v>65206.056653569329</v>
      </c>
      <c r="AP40" s="3">
        <v>27</v>
      </c>
      <c r="AR40" s="14">
        <f t="shared" si="3"/>
        <v>0</v>
      </c>
      <c r="AS40" s="17" t="e">
        <f>IF(OR(AS39=0,AS39&gt;=#REF!),0,FV($O$1,AP40,-#REF!,0,1))</f>
        <v>#REF!</v>
      </c>
      <c r="AU40" s="5">
        <f t="shared" si="4"/>
        <v>97549.749168254129</v>
      </c>
      <c r="AW40" s="26">
        <f t="shared" si="1"/>
        <v>0</v>
      </c>
      <c r="AX40" s="26">
        <f t="shared" si="2"/>
        <v>0</v>
      </c>
      <c r="AY40" s="11" cm="1">
        <f t="array" ref="AY40">IF(AX40=0,IF(AW40&gt;0,INDEX($AU$13:$AU$611,AW40*12),0),INDEX($AU$13:$AU$611,AW40*12+AX40))</f>
        <v>0</v>
      </c>
      <c r="AZ40" s="11">
        <f t="shared" si="5"/>
        <v>0</v>
      </c>
      <c r="BA40" s="11">
        <f t="shared" si="6"/>
        <v>0</v>
      </c>
      <c r="BB40" s="37">
        <f t="shared" si="0"/>
        <v>0</v>
      </c>
    </row>
    <row r="41" spans="1:54" hidden="1" x14ac:dyDescent="0.25">
      <c r="H41" s="1"/>
      <c r="I41" s="1"/>
      <c r="J41" s="1"/>
      <c r="K41" s="1"/>
      <c r="L41" s="1"/>
      <c r="M41" s="45">
        <f t="shared" si="13"/>
        <v>1</v>
      </c>
      <c r="N41" s="36">
        <v>21</v>
      </c>
      <c r="O41" s="91">
        <f t="shared" si="7"/>
        <v>14254.307810793494</v>
      </c>
      <c r="P41" s="38">
        <f t="shared" si="8"/>
        <v>64593.145669319798</v>
      </c>
      <c r="W41" s="26">
        <f t="shared" si="9"/>
        <v>22782.158346845899</v>
      </c>
      <c r="X41" s="5">
        <f t="shared" si="10"/>
        <v>103236.95070237221</v>
      </c>
      <c r="Y41" s="5"/>
      <c r="AA41" s="63">
        <f t="shared" si="11"/>
        <v>14254.307810793494</v>
      </c>
      <c r="AB41" s="5">
        <f t="shared" si="12"/>
        <v>64593.145669319798</v>
      </c>
      <c r="AP41" s="3">
        <v>28</v>
      </c>
      <c r="AR41" s="14">
        <f t="shared" si="3"/>
        <v>0</v>
      </c>
      <c r="AS41" s="17" t="e">
        <f>IF(OR(AS40=0,AS40&gt;=#REF!),0,FV($O$1,AP41,-#REF!,0,1))</f>
        <v>#REF!</v>
      </c>
      <c r="AU41" s="5">
        <f t="shared" si="4"/>
        <v>96632.820345312677</v>
      </c>
      <c r="AW41" s="26">
        <f t="shared" si="1"/>
        <v>0</v>
      </c>
      <c r="AX41" s="26">
        <f t="shared" si="2"/>
        <v>0</v>
      </c>
      <c r="AY41" s="11" cm="1">
        <f t="array" ref="AY41">IF(AX41=0,IF(AW41&gt;0,INDEX($AU$13:$AU$611,AW41*12),0),INDEX($AU$13:$AU$611,AW41*12+AX41))</f>
        <v>0</v>
      </c>
      <c r="AZ41" s="11">
        <f t="shared" si="5"/>
        <v>0</v>
      </c>
      <c r="BA41" s="11">
        <f t="shared" si="6"/>
        <v>0</v>
      </c>
      <c r="BB41" s="37">
        <f t="shared" si="0"/>
        <v>0</v>
      </c>
    </row>
    <row r="42" spans="1:54" hidden="1" x14ac:dyDescent="0.25">
      <c r="H42" s="1"/>
      <c r="I42" s="1"/>
      <c r="J42" s="1"/>
      <c r="K42" s="1"/>
      <c r="L42" s="1"/>
      <c r="M42" s="45">
        <f t="shared" si="13"/>
        <v>1</v>
      </c>
      <c r="N42" s="36">
        <v>22</v>
      </c>
      <c r="O42" s="91">
        <f t="shared" si="7"/>
        <v>14254.307810793494</v>
      </c>
      <c r="P42" s="38">
        <f t="shared" si="8"/>
        <v>63985.99580441857</v>
      </c>
      <c r="W42" s="26">
        <f t="shared" si="9"/>
        <v>22782.158346845899</v>
      </c>
      <c r="X42" s="5">
        <f t="shared" si="10"/>
        <v>102266.56444819212</v>
      </c>
      <c r="Y42" s="5"/>
      <c r="AA42" s="63">
        <f t="shared" si="11"/>
        <v>14254.307810793494</v>
      </c>
      <c r="AB42" s="5">
        <f t="shared" si="12"/>
        <v>63985.99580441857</v>
      </c>
      <c r="AP42" s="3">
        <v>29</v>
      </c>
      <c r="AR42" s="14">
        <f t="shared" si="3"/>
        <v>0</v>
      </c>
      <c r="AS42" s="17" t="e">
        <f>IF(OR(AS41=0,AS41&gt;=#REF!),0,FV($O$1,AP42,-#REF!,0,1))</f>
        <v>#REF!</v>
      </c>
      <c r="AU42" s="5">
        <f t="shared" si="4"/>
        <v>95724.510288421487</v>
      </c>
      <c r="AW42" s="26">
        <f t="shared" si="1"/>
        <v>0</v>
      </c>
      <c r="AX42" s="26">
        <f t="shared" si="2"/>
        <v>0</v>
      </c>
      <c r="AY42" s="11" cm="1">
        <f t="array" ref="AY42">IF(AX42=0,IF(AW42&gt;0,INDEX($AU$13:$AU$611,AW42*12),0),INDEX($AU$13:$AU$611,AW42*12+AX42))</f>
        <v>0</v>
      </c>
      <c r="AZ42" s="11">
        <f t="shared" si="5"/>
        <v>0</v>
      </c>
      <c r="BA42" s="11">
        <f t="shared" si="6"/>
        <v>0</v>
      </c>
      <c r="BB42" s="37">
        <f t="shared" si="0"/>
        <v>0</v>
      </c>
    </row>
    <row r="43" spans="1:54" hidden="1" x14ac:dyDescent="0.25">
      <c r="H43" s="1"/>
      <c r="I43" s="1"/>
      <c r="J43" s="1"/>
      <c r="K43" s="1"/>
      <c r="L43" s="1"/>
      <c r="M43" s="45">
        <f t="shared" si="13"/>
        <v>1</v>
      </c>
      <c r="N43" s="36">
        <v>23</v>
      </c>
      <c r="O43" s="91">
        <f t="shared" si="7"/>
        <v>14254.307810793494</v>
      </c>
      <c r="P43" s="38">
        <f t="shared" si="8"/>
        <v>63384.552906636367</v>
      </c>
      <c r="W43" s="26">
        <f t="shared" si="9"/>
        <v>22782.158346845899</v>
      </c>
      <c r="X43" s="5">
        <f t="shared" si="10"/>
        <v>101305.29943864289</v>
      </c>
      <c r="Y43" s="5"/>
      <c r="AA43" s="63">
        <f t="shared" si="11"/>
        <v>14254.307810793494</v>
      </c>
      <c r="AB43" s="5">
        <f t="shared" si="12"/>
        <v>63384.552906636367</v>
      </c>
      <c r="AP43" s="3">
        <v>30</v>
      </c>
      <c r="AR43" s="14">
        <f t="shared" si="3"/>
        <v>0</v>
      </c>
      <c r="AS43" s="17" t="e">
        <f>IF(OR(AS42=0,AS42&gt;=#REF!),0,FV($O$1,AP43,-#REF!,0,1))</f>
        <v>#REF!</v>
      </c>
      <c r="AU43" s="5">
        <f t="shared" si="4"/>
        <v>94824.737984609441</v>
      </c>
      <c r="AW43" s="26">
        <f t="shared" si="1"/>
        <v>0</v>
      </c>
      <c r="AX43" s="26">
        <f t="shared" si="2"/>
        <v>0</v>
      </c>
      <c r="AY43" s="11" cm="1">
        <f t="array" ref="AY43">IF(AX43=0,IF(AW43&gt;0,INDEX($AU$13:$AU$611,AW43*12),0),INDEX($AU$13:$AU$611,AW43*12+AX43))</f>
        <v>0</v>
      </c>
      <c r="AZ43" s="11">
        <f t="shared" si="5"/>
        <v>0</v>
      </c>
      <c r="BA43" s="11">
        <f t="shared" si="6"/>
        <v>0</v>
      </c>
      <c r="BB43" s="37">
        <f t="shared" si="0"/>
        <v>0</v>
      </c>
    </row>
    <row r="44" spans="1:54" hidden="1" x14ac:dyDescent="0.25">
      <c r="H44" s="1"/>
      <c r="I44" s="1"/>
      <c r="J44" s="1"/>
      <c r="K44" s="1"/>
      <c r="L44" s="1"/>
      <c r="M44" s="45">
        <f t="shared" si="13"/>
        <v>1</v>
      </c>
      <c r="N44" s="36">
        <v>24</v>
      </c>
      <c r="O44" s="91">
        <f t="shared" si="7"/>
        <v>14254.307810793494</v>
      </c>
      <c r="P44" s="38">
        <f t="shared" si="8"/>
        <v>62788.763332753319</v>
      </c>
      <c r="W44" s="26">
        <f t="shared" si="9"/>
        <v>22782.158346845899</v>
      </c>
      <c r="X44" s="5">
        <f t="shared" si="10"/>
        <v>100353.06993765474</v>
      </c>
      <c r="Y44" s="5"/>
      <c r="AA44" s="63">
        <f t="shared" si="11"/>
        <v>14254.307810793494</v>
      </c>
      <c r="AB44" s="5">
        <f t="shared" si="12"/>
        <v>62788.763332753319</v>
      </c>
      <c r="AP44" s="3">
        <v>31</v>
      </c>
      <c r="AR44" s="14">
        <f t="shared" si="3"/>
        <v>0</v>
      </c>
      <c r="AS44" s="17" t="e">
        <f>IF(OR(AS43=0,AS43&gt;=#REF!),0,FV($O$1,AP44,-#REF!,0,1))</f>
        <v>#REF!</v>
      </c>
      <c r="AU44" s="5">
        <f t="shared" si="4"/>
        <v>93933.423182395127</v>
      </c>
      <c r="AW44" s="26">
        <f t="shared" si="1"/>
        <v>0</v>
      </c>
      <c r="AX44" s="26">
        <f t="shared" si="2"/>
        <v>0</v>
      </c>
      <c r="AY44" s="11" cm="1">
        <f t="array" ref="AY44">IF(AX44=0,IF(AW44&gt;0,INDEX($AU$13:$AU$611,AW44*12),0),INDEX($AU$13:$AU$611,AW44*12+AX44))</f>
        <v>0</v>
      </c>
      <c r="AZ44" s="11">
        <f t="shared" si="5"/>
        <v>0</v>
      </c>
      <c r="BA44" s="11">
        <f t="shared" si="6"/>
        <v>0</v>
      </c>
      <c r="BB44" s="37">
        <f t="shared" si="0"/>
        <v>0</v>
      </c>
    </row>
    <row r="45" spans="1:54" hidden="1" x14ac:dyDescent="0.25">
      <c r="H45" s="1"/>
      <c r="I45" s="1"/>
      <c r="J45" s="1"/>
      <c r="K45" s="1"/>
      <c r="L45" s="1"/>
      <c r="M45" s="45">
        <f t="shared" si="13"/>
        <v>2</v>
      </c>
      <c r="N45" s="36">
        <v>25</v>
      </c>
      <c r="O45" s="91">
        <f t="shared" si="7"/>
        <v>15679.738591872845</v>
      </c>
      <c r="P45" s="38">
        <f t="shared" si="8"/>
        <v>68418.431338151946</v>
      </c>
      <c r="W45" s="26">
        <f t="shared" si="9"/>
        <v>22782.158346845899</v>
      </c>
      <c r="X45" s="5">
        <f t="shared" si="10"/>
        <v>99409.791015042836</v>
      </c>
      <c r="Y45" s="5"/>
      <c r="AA45" s="63">
        <f t="shared" si="11"/>
        <v>15679.738591872845</v>
      </c>
      <c r="AB45" s="5">
        <f t="shared" si="12"/>
        <v>68418.431338151946</v>
      </c>
      <c r="AP45" s="3">
        <v>32</v>
      </c>
      <c r="AR45" s="14">
        <f t="shared" si="3"/>
        <v>0</v>
      </c>
      <c r="AS45" s="17" t="e">
        <f>IF(OR(AS44=0,AS44&gt;=#REF!),0,FV($O$1,AP45,-#REF!,0,1))</f>
        <v>#REF!</v>
      </c>
      <c r="AU45" s="5">
        <f t="shared" si="4"/>
        <v>93050.486384629141</v>
      </c>
      <c r="AW45" s="26">
        <f t="shared" si="1"/>
        <v>0</v>
      </c>
      <c r="AX45" s="26">
        <f t="shared" si="2"/>
        <v>0</v>
      </c>
      <c r="AY45" s="11" cm="1">
        <f t="array" ref="AY45">IF(AX45=0,IF(AW45&gt;0,INDEX($AU$13:$AU$611,AW45*12),0),INDEX($AU$13:$AU$611,AW45*12+AX45))</f>
        <v>0</v>
      </c>
      <c r="AZ45" s="11">
        <f t="shared" si="5"/>
        <v>0</v>
      </c>
      <c r="BA45" s="11">
        <f t="shared" si="6"/>
        <v>0</v>
      </c>
      <c r="BB45" s="37">
        <f t="shared" si="0"/>
        <v>0</v>
      </c>
    </row>
    <row r="46" spans="1:54" hidden="1" x14ac:dyDescent="0.25">
      <c r="H46" s="1"/>
      <c r="I46" s="1"/>
      <c r="J46" s="1"/>
      <c r="K46" s="1"/>
      <c r="L46" s="1"/>
      <c r="M46" s="45">
        <f t="shared" si="13"/>
        <v>2</v>
      </c>
      <c r="N46" s="36">
        <v>26</v>
      </c>
      <c r="O46" s="91">
        <f t="shared" si="7"/>
        <v>15679.738591872845</v>
      </c>
      <c r="P46" s="38">
        <f t="shared" si="8"/>
        <v>67775.325310209373</v>
      </c>
      <c r="W46" s="26">
        <f t="shared" si="9"/>
        <v>22782.158346845899</v>
      </c>
      <c r="X46" s="5">
        <f t="shared" si="10"/>
        <v>98475.378538932229</v>
      </c>
      <c r="Y46" s="5"/>
      <c r="AA46" s="63">
        <f t="shared" si="11"/>
        <v>15679.738591872845</v>
      </c>
      <c r="AB46" s="5">
        <f t="shared" si="12"/>
        <v>67775.325310209373</v>
      </c>
      <c r="AP46" s="3">
        <v>33</v>
      </c>
      <c r="AR46" s="14">
        <f t="shared" si="3"/>
        <v>0</v>
      </c>
      <c r="AS46" s="17" t="e">
        <f>IF(OR(AS45=0,AS45&gt;=#REF!),0,FV($O$1,AP46,-#REF!,0,1))</f>
        <v>#REF!</v>
      </c>
      <c r="AU46" s="5">
        <f t="shared" si="4"/>
        <v>92175.84884140364</v>
      </c>
      <c r="AW46" s="26">
        <f t="shared" si="1"/>
        <v>0</v>
      </c>
      <c r="AX46" s="26">
        <f t="shared" si="2"/>
        <v>0</v>
      </c>
      <c r="AY46" s="11" cm="1">
        <f t="array" ref="AY46">IF(AX46=0,IF(AW46&gt;0,INDEX($AU$13:$AU$611,AW46*12),0),INDEX($AU$13:$AU$611,AW46*12+AX46))</f>
        <v>0</v>
      </c>
      <c r="AZ46" s="11">
        <f t="shared" ref="AZ46:AZ73" si="14">IF(AW46&gt;0,FV($C$11,AW46+IF(AX46&gt;0,MOD($Q$9,12),0),0,-$C$10,1),0)</f>
        <v>0</v>
      </c>
      <c r="BA46" s="11">
        <f t="shared" si="6"/>
        <v>0</v>
      </c>
      <c r="BB46" s="37">
        <f t="shared" si="0"/>
        <v>0</v>
      </c>
    </row>
    <row r="47" spans="1:54" hidden="1" x14ac:dyDescent="0.25">
      <c r="H47" s="1"/>
      <c r="I47" s="1"/>
      <c r="J47" s="1"/>
      <c r="K47" s="1"/>
      <c r="L47" s="1"/>
      <c r="M47" s="45">
        <f t="shared" si="13"/>
        <v>2</v>
      </c>
      <c r="N47" s="36">
        <v>27</v>
      </c>
      <c r="O47" s="91">
        <f t="shared" si="7"/>
        <v>15679.738591872845</v>
      </c>
      <c r="P47" s="38">
        <f t="shared" si="8"/>
        <v>67138.264223009901</v>
      </c>
      <c r="W47" s="26">
        <f t="shared" si="9"/>
        <v>22782.158346845899</v>
      </c>
      <c r="X47" s="5">
        <f t="shared" si="10"/>
        <v>97549.749168254129</v>
      </c>
      <c r="Y47" s="5"/>
      <c r="AA47" s="63">
        <f t="shared" si="11"/>
        <v>15679.738591872845</v>
      </c>
      <c r="AB47" s="5">
        <f t="shared" si="12"/>
        <v>67138.264223009901</v>
      </c>
      <c r="AP47" s="3">
        <v>34</v>
      </c>
      <c r="AR47" s="14">
        <f t="shared" si="3"/>
        <v>0</v>
      </c>
      <c r="AS47" s="17" t="e">
        <f>IF(OR(AS46=0,AS46&gt;=#REF!),0,FV($O$1,AP47,-#REF!,0,1))</f>
        <v>#REF!</v>
      </c>
      <c r="AU47" s="5">
        <f t="shared" si="4"/>
        <v>91309.432543028553</v>
      </c>
      <c r="AW47" s="26">
        <f t="shared" si="1"/>
        <v>0</v>
      </c>
      <c r="AX47" s="26">
        <f t="shared" si="2"/>
        <v>0</v>
      </c>
      <c r="AY47" s="11" cm="1">
        <f t="array" ref="AY47">IF(AX47=0,IF(AW47&gt;0,INDEX($AU$13:$AU$611,AW47*12),0),INDEX($AU$13:$AU$611,AW47*12+AX47))</f>
        <v>0</v>
      </c>
      <c r="AZ47" s="11">
        <f t="shared" si="14"/>
        <v>0</v>
      </c>
      <c r="BA47" s="11">
        <f t="shared" si="6"/>
        <v>0</v>
      </c>
      <c r="BB47" s="37">
        <f t="shared" si="0"/>
        <v>0</v>
      </c>
    </row>
    <row r="48" spans="1:54" hidden="1" x14ac:dyDescent="0.25">
      <c r="L48" s="2" t="str">
        <f t="shared" ref="L48:L93" si="15">IF(MOD(M48,12)=0,M48/12,"")</f>
        <v/>
      </c>
      <c r="M48" s="45">
        <f t="shared" si="13"/>
        <v>2</v>
      </c>
      <c r="N48" s="36">
        <v>28</v>
      </c>
      <c r="O48" s="91">
        <f t="shared" si="7"/>
        <v>15679.738591872845</v>
      </c>
      <c r="P48" s="38">
        <f t="shared" si="8"/>
        <v>66507.191256516089</v>
      </c>
      <c r="W48" s="26">
        <f t="shared" si="9"/>
        <v>22782.158346845899</v>
      </c>
      <c r="X48" s="5">
        <f t="shared" si="10"/>
        <v>96632.820345312677</v>
      </c>
      <c r="Y48" s="5"/>
      <c r="AA48" s="63">
        <f t="shared" si="11"/>
        <v>15679.738591872845</v>
      </c>
      <c r="AB48" s="5">
        <f t="shared" si="12"/>
        <v>66507.191256516089</v>
      </c>
      <c r="AP48" s="3">
        <v>35</v>
      </c>
      <c r="AR48" s="14">
        <f t="shared" si="3"/>
        <v>0</v>
      </c>
      <c r="AS48" s="17" t="e">
        <f>IF(OR(AS47=0,AS47&gt;=#REF!),0,FV($O$1,AP48,-#REF!,0,1))</f>
        <v>#REF!</v>
      </c>
      <c r="AU48" s="5">
        <f t="shared" si="4"/>
        <v>90451.16021307389</v>
      </c>
      <c r="AW48" s="26">
        <f t="shared" si="1"/>
        <v>0</v>
      </c>
      <c r="AX48" s="26">
        <f t="shared" si="2"/>
        <v>0</v>
      </c>
      <c r="AY48" s="11" cm="1">
        <f t="array" ref="AY48">IF(AX48=0,IF(AW48&gt;0,INDEX($AU$13:$AU$611,AW48*12),0),INDEX($AU$13:$AU$611,AW48*12+AX48))</f>
        <v>0</v>
      </c>
      <c r="AZ48" s="11">
        <f t="shared" si="14"/>
        <v>0</v>
      </c>
      <c r="BA48" s="11">
        <f t="shared" si="6"/>
        <v>0</v>
      </c>
      <c r="BB48" s="37">
        <f t="shared" si="0"/>
        <v>0</v>
      </c>
    </row>
    <row r="49" spans="12:54" hidden="1" x14ac:dyDescent="0.25">
      <c r="L49" s="2" t="str">
        <f t="shared" si="15"/>
        <v/>
      </c>
      <c r="M49" s="45">
        <f t="shared" si="13"/>
        <v>2</v>
      </c>
      <c r="N49" s="36">
        <v>29</v>
      </c>
      <c r="O49" s="91">
        <f t="shared" si="7"/>
        <v>15679.738591872845</v>
      </c>
      <c r="P49" s="38">
        <f t="shared" si="8"/>
        <v>65882.050124776259</v>
      </c>
      <c r="W49" s="26">
        <f t="shared" si="9"/>
        <v>22782.158346845899</v>
      </c>
      <c r="X49" s="5">
        <f t="shared" si="10"/>
        <v>95724.510288421487</v>
      </c>
      <c r="Y49" s="5"/>
      <c r="AA49" s="63">
        <f t="shared" si="11"/>
        <v>15679.738591872845</v>
      </c>
      <c r="AB49" s="5">
        <f t="shared" si="12"/>
        <v>65882.050124776259</v>
      </c>
      <c r="AP49" s="3">
        <v>36</v>
      </c>
      <c r="AR49" s="14">
        <f t="shared" si="3"/>
        <v>0</v>
      </c>
      <c r="AS49" s="17" t="e">
        <f>IF(OR(AS48=0,AS48&gt;=#REF!),0,FV($O$1,AP49,-#REF!,0,1))</f>
        <v>#REF!</v>
      </c>
      <c r="AU49" s="5">
        <f t="shared" si="4"/>
        <v>89600.955301477341</v>
      </c>
      <c r="AW49" s="26">
        <f t="shared" si="1"/>
        <v>0</v>
      </c>
      <c r="AX49" s="26">
        <f t="shared" si="2"/>
        <v>0</v>
      </c>
      <c r="AY49" s="11" cm="1">
        <f t="array" ref="AY49">IF(AX49=0,IF(AW49&gt;0,INDEX($AU$13:$AU$611,AW49*12),0),INDEX($AU$13:$AU$611,AW49*12+AX49))</f>
        <v>0</v>
      </c>
      <c r="AZ49" s="11">
        <f t="shared" si="14"/>
        <v>0</v>
      </c>
      <c r="BA49" s="11">
        <f t="shared" si="6"/>
        <v>0</v>
      </c>
      <c r="BB49" s="37">
        <f t="shared" si="0"/>
        <v>0</v>
      </c>
    </row>
    <row r="50" spans="12:54" hidden="1" x14ac:dyDescent="0.25">
      <c r="L50" s="2" t="str">
        <f t="shared" si="15"/>
        <v/>
      </c>
      <c r="M50" s="45">
        <f t="shared" si="13"/>
        <v>2</v>
      </c>
      <c r="N50" s="36">
        <v>30</v>
      </c>
      <c r="O50" s="91">
        <f t="shared" si="7"/>
        <v>15679.738591872845</v>
      </c>
      <c r="P50" s="38">
        <f t="shared" si="8"/>
        <v>65262.785070904261</v>
      </c>
      <c r="W50" s="26">
        <f t="shared" si="9"/>
        <v>22782.158346845899</v>
      </c>
      <c r="X50" s="5">
        <f t="shared" si="10"/>
        <v>94824.737984609441</v>
      </c>
      <c r="Y50" s="5"/>
      <c r="AA50" s="63">
        <f t="shared" si="11"/>
        <v>15679.738591872845</v>
      </c>
      <c r="AB50" s="5">
        <f t="shared" si="12"/>
        <v>65262.785070904261</v>
      </c>
      <c r="AP50" s="3">
        <v>37</v>
      </c>
      <c r="AR50" s="14">
        <f t="shared" si="3"/>
        <v>0</v>
      </c>
      <c r="AS50" s="17" t="e">
        <f>IF(OR(AS49=0,AS49&gt;=#REF!),0,FV($O$1,AP50,-#REF!,0,1))</f>
        <v>#REF!</v>
      </c>
      <c r="AU50" s="5">
        <f t="shared" ref="AU50:AU78" si="16">X57</f>
        <v>88758.741977716709</v>
      </c>
      <c r="AW50" s="26">
        <f t="shared" si="1"/>
        <v>0</v>
      </c>
      <c r="AX50" s="26">
        <f t="shared" si="2"/>
        <v>0</v>
      </c>
      <c r="AY50" s="11" cm="1">
        <f t="array" ref="AY50">IF(AX50=0,IF(AW50&gt;0,INDEX($AU$13:$AU$611,AW50*12),0),INDEX($AU$13:$AU$611,AW50*12+AX50))</f>
        <v>0</v>
      </c>
      <c r="AZ50" s="11">
        <f t="shared" si="14"/>
        <v>0</v>
      </c>
      <c r="BA50" s="11">
        <f t="shared" ref="BA50:BA73" si="17">IF(AW50&gt;0,FV($C$6,AW50+IF(AX50&gt;0,MOD($Q$9,12),0),0,-$C$30,1),0)</f>
        <v>0</v>
      </c>
      <c r="BB50" s="37">
        <f t="shared" si="0"/>
        <v>0</v>
      </c>
    </row>
    <row r="51" spans="12:54" hidden="1" x14ac:dyDescent="0.25">
      <c r="L51" s="2" t="str">
        <f t="shared" si="15"/>
        <v/>
      </c>
      <c r="M51" s="45">
        <f t="shared" si="13"/>
        <v>2</v>
      </c>
      <c r="N51" s="36">
        <v>31</v>
      </c>
      <c r="O51" s="91">
        <f t="shared" si="7"/>
        <v>15679.738591872845</v>
      </c>
      <c r="P51" s="38">
        <f t="shared" si="8"/>
        <v>64649.340862106459</v>
      </c>
      <c r="W51" s="26">
        <f t="shared" si="9"/>
        <v>22782.158346845899</v>
      </c>
      <c r="X51" s="5">
        <f t="shared" si="10"/>
        <v>93933.423182395127</v>
      </c>
      <c r="Y51" s="5"/>
      <c r="AA51" s="63">
        <f t="shared" si="11"/>
        <v>15679.738591872845</v>
      </c>
      <c r="AB51" s="5">
        <f t="shared" si="12"/>
        <v>64649.340862106459</v>
      </c>
      <c r="AP51" s="3">
        <v>38</v>
      </c>
      <c r="AR51" s="14">
        <f t="shared" si="3"/>
        <v>0</v>
      </c>
      <c r="AS51" s="17" t="e">
        <f>IF(OR(AS50=0,AS50&gt;=#REF!),0,FV($O$1,AP51,-#REF!,0,1))</f>
        <v>#REF!</v>
      </c>
      <c r="AU51" s="5">
        <f t="shared" si="16"/>
        <v>87924.445124046528</v>
      </c>
      <c r="AW51" s="26">
        <f t="shared" si="1"/>
        <v>0</v>
      </c>
      <c r="AX51" s="26">
        <f t="shared" si="2"/>
        <v>0</v>
      </c>
      <c r="AY51" s="11" cm="1">
        <f t="array" ref="AY51">IF(AX51=0,IF(AW51&gt;0,INDEX($AU$13:$AU$611,AW51*12),0),INDEX($AU$13:$AU$611,AW51*12+AX51))</f>
        <v>0</v>
      </c>
      <c r="AZ51" s="11">
        <f t="shared" si="14"/>
        <v>0</v>
      </c>
      <c r="BA51" s="11">
        <f t="shared" si="17"/>
        <v>0</v>
      </c>
      <c r="BB51" s="37">
        <f t="shared" si="0"/>
        <v>0</v>
      </c>
    </row>
    <row r="52" spans="12:54" hidden="1" x14ac:dyDescent="0.25">
      <c r="L52" s="2" t="str">
        <f t="shared" si="15"/>
        <v/>
      </c>
      <c r="M52" s="45">
        <f t="shared" si="13"/>
        <v>2</v>
      </c>
      <c r="N52" s="36">
        <v>32</v>
      </c>
      <c r="O52" s="91">
        <f t="shared" si="7"/>
        <v>15679.738591872845</v>
      </c>
      <c r="P52" s="38">
        <f t="shared" si="8"/>
        <v>64041.662784755514</v>
      </c>
      <c r="W52" s="26">
        <f t="shared" si="9"/>
        <v>22782.158346845899</v>
      </c>
      <c r="X52" s="5">
        <f t="shared" si="10"/>
        <v>93050.486384629141</v>
      </c>
      <c r="Y52" s="5"/>
      <c r="AA52" s="63">
        <f t="shared" si="11"/>
        <v>15679.738591872845</v>
      </c>
      <c r="AB52" s="5">
        <f t="shared" si="12"/>
        <v>64041.662784755514</v>
      </c>
      <c r="AP52" s="3">
        <v>39</v>
      </c>
      <c r="AR52" s="14">
        <f t="shared" si="3"/>
        <v>0</v>
      </c>
      <c r="AS52" s="17" t="e">
        <f>IF(OR(AS51=0,AS51&gt;=#REF!),0,FV($O$1,AP52,-#REF!,0,1))</f>
        <v>#REF!</v>
      </c>
      <c r="AU52" s="5">
        <f t="shared" si="16"/>
        <v>87097.990328798231</v>
      </c>
      <c r="AW52" s="26">
        <f t="shared" si="1"/>
        <v>0</v>
      </c>
      <c r="AX52" s="26">
        <f t="shared" si="2"/>
        <v>0</v>
      </c>
      <c r="AY52" s="11" cm="1">
        <f t="array" ref="AY52">IF(AX52=0,IF(AW52&gt;0,INDEX($AU$13:$AU$611,AW52*12),0),INDEX($AU$13:$AU$611,AW52*12+AX52))</f>
        <v>0</v>
      </c>
      <c r="AZ52" s="11">
        <f t="shared" si="14"/>
        <v>0</v>
      </c>
      <c r="BA52" s="11">
        <f t="shared" si="17"/>
        <v>0</v>
      </c>
      <c r="BB52" s="37">
        <f t="shared" si="0"/>
        <v>0</v>
      </c>
    </row>
    <row r="53" spans="12:54" hidden="1" x14ac:dyDescent="0.25">
      <c r="L53" s="2" t="str">
        <f t="shared" si="15"/>
        <v/>
      </c>
      <c r="M53" s="45">
        <f t="shared" si="13"/>
        <v>2</v>
      </c>
      <c r="N53" s="36">
        <v>33</v>
      </c>
      <c r="O53" s="91">
        <f t="shared" si="7"/>
        <v>15679.738591872845</v>
      </c>
      <c r="P53" s="38">
        <f t="shared" si="8"/>
        <v>63439.696639510439</v>
      </c>
      <c r="W53" s="26">
        <f t="shared" si="9"/>
        <v>22782.158346845899</v>
      </c>
      <c r="X53" s="5">
        <f t="shared" si="10"/>
        <v>92175.84884140364</v>
      </c>
      <c r="Y53" s="5"/>
      <c r="AA53" s="63">
        <f t="shared" si="11"/>
        <v>15679.738591872845</v>
      </c>
      <c r="AB53" s="5">
        <f t="shared" si="12"/>
        <v>63439.696639510439</v>
      </c>
      <c r="AP53" s="3">
        <v>40</v>
      </c>
      <c r="AR53" s="14">
        <f t="shared" si="3"/>
        <v>0</v>
      </c>
      <c r="AS53" s="17" t="e">
        <f>IF(OR(AS52=0,AS52&gt;=#REF!),0,FV($O$1,AP53,-#REF!,0,1))</f>
        <v>#REF!</v>
      </c>
      <c r="AU53" s="5">
        <f t="shared" si="16"/>
        <v>86279.303879743369</v>
      </c>
      <c r="AW53" s="26">
        <f t="shared" si="1"/>
        <v>0</v>
      </c>
      <c r="AX53" s="26">
        <f t="shared" si="2"/>
        <v>0</v>
      </c>
      <c r="AY53" s="11" cm="1">
        <f t="array" ref="AY53">IF(AX53=0,IF(AW53&gt;0,INDEX($AU$13:$AU$611,AW53*12),0),INDEX($AU$13:$AU$611,AW53*12+AX53))</f>
        <v>0</v>
      </c>
      <c r="AZ53" s="11">
        <f t="shared" si="14"/>
        <v>0</v>
      </c>
      <c r="BA53" s="11">
        <f t="shared" si="17"/>
        <v>0</v>
      </c>
      <c r="BB53" s="37">
        <f t="shared" si="0"/>
        <v>0</v>
      </c>
    </row>
    <row r="54" spans="12:54" hidden="1" x14ac:dyDescent="0.25">
      <c r="L54" s="2" t="str">
        <f t="shared" si="15"/>
        <v/>
      </c>
      <c r="M54" s="45">
        <f t="shared" si="13"/>
        <v>2</v>
      </c>
      <c r="N54" s="36">
        <v>34</v>
      </c>
      <c r="O54" s="91">
        <f t="shared" si="7"/>
        <v>15679.738591872845</v>
      </c>
      <c r="P54" s="38">
        <f t="shared" si="8"/>
        <v>62843.388736482448</v>
      </c>
      <c r="W54" s="26">
        <f t="shared" si="9"/>
        <v>22782.158346845899</v>
      </c>
      <c r="X54" s="5">
        <f t="shared" si="10"/>
        <v>91309.432543028553</v>
      </c>
      <c r="Y54" s="5"/>
      <c r="AA54" s="63">
        <f t="shared" si="11"/>
        <v>15679.738591872845</v>
      </c>
      <c r="AB54" s="5">
        <f t="shared" si="12"/>
        <v>62843.388736482448</v>
      </c>
      <c r="AP54" s="3">
        <v>41</v>
      </c>
      <c r="AR54" s="14">
        <f t="shared" si="3"/>
        <v>0</v>
      </c>
      <c r="AS54" s="17" t="e">
        <f>IF(OR(AS53=0,AS53&gt;=#REF!),0,FV($O$1,AP54,-#REF!,0,1))</f>
        <v>#REF!</v>
      </c>
      <c r="AU54" s="5">
        <f t="shared" si="16"/>
        <v>85468.312757519088</v>
      </c>
      <c r="AW54" s="26">
        <f t="shared" si="1"/>
        <v>0</v>
      </c>
      <c r="AX54" s="26">
        <f t="shared" si="2"/>
        <v>0</v>
      </c>
      <c r="AY54" s="11" cm="1">
        <f t="array" ref="AY54">IF(AX54=0,IF(AW54&gt;0,INDEX($AU$13:$AU$611,AW54*12),0),INDEX($AU$13:$AU$611,AW54*12+AX54))</f>
        <v>0</v>
      </c>
      <c r="AZ54" s="11">
        <f t="shared" si="14"/>
        <v>0</v>
      </c>
      <c r="BA54" s="11">
        <f t="shared" si="17"/>
        <v>0</v>
      </c>
      <c r="BB54" s="37">
        <f t="shared" si="0"/>
        <v>0</v>
      </c>
    </row>
    <row r="55" spans="12:54" hidden="1" x14ac:dyDescent="0.25">
      <c r="L55" s="2" t="str">
        <f t="shared" si="15"/>
        <v/>
      </c>
      <c r="M55" s="45">
        <f t="shared" si="13"/>
        <v>2</v>
      </c>
      <c r="N55" s="36">
        <v>35</v>
      </c>
      <c r="O55" s="91">
        <f t="shared" si="7"/>
        <v>15679.738591872845</v>
      </c>
      <c r="P55" s="38">
        <f t="shared" si="8"/>
        <v>62252.685890446352</v>
      </c>
      <c r="W55" s="26">
        <f t="shared" si="9"/>
        <v>22782.158346845899</v>
      </c>
      <c r="X55" s="5">
        <f t="shared" si="10"/>
        <v>90451.16021307389</v>
      </c>
      <c r="Y55" s="5"/>
      <c r="AA55" s="63">
        <f t="shared" si="11"/>
        <v>15679.738591872845</v>
      </c>
      <c r="AB55" s="5">
        <f t="shared" si="12"/>
        <v>62252.685890446352</v>
      </c>
      <c r="AP55" s="3">
        <v>42</v>
      </c>
      <c r="AR55" s="14">
        <f t="shared" si="3"/>
        <v>0</v>
      </c>
      <c r="AS55" s="17" t="e">
        <f>IF(OR(AS54=0,AS54&gt;=#REF!),0,FV($O$1,AP55,-#REF!,0,1))</f>
        <v>#REF!</v>
      </c>
      <c r="AU55" s="5">
        <f t="shared" si="16"/>
        <v>84664.944629115475</v>
      </c>
      <c r="AW55" s="26">
        <f t="shared" si="1"/>
        <v>0</v>
      </c>
      <c r="AX55" s="26">
        <f t="shared" si="2"/>
        <v>0</v>
      </c>
      <c r="AY55" s="11" cm="1">
        <f t="array" ref="AY55">IF(AX55=0,IF(AW55&gt;0,INDEX($AU$13:$AU$611,AW55*12),0),INDEX($AU$13:$AU$611,AW55*12+AX55))</f>
        <v>0</v>
      </c>
      <c r="AZ55" s="11">
        <f t="shared" si="14"/>
        <v>0</v>
      </c>
      <c r="BA55" s="11">
        <f t="shared" si="17"/>
        <v>0</v>
      </c>
      <c r="BB55" s="37">
        <f t="shared" si="0"/>
        <v>0</v>
      </c>
    </row>
    <row r="56" spans="12:54" hidden="1" x14ac:dyDescent="0.25">
      <c r="L56" s="2" t="str">
        <f t="shared" si="15"/>
        <v/>
      </c>
      <c r="M56" s="45">
        <f t="shared" si="13"/>
        <v>2</v>
      </c>
      <c r="N56" s="36">
        <v>36</v>
      </c>
      <c r="O56" s="91">
        <f t="shared" si="7"/>
        <v>15679.738591872845</v>
      </c>
      <c r="P56" s="38">
        <f t="shared" si="8"/>
        <v>61667.535416096936</v>
      </c>
      <c r="W56" s="26">
        <f t="shared" si="9"/>
        <v>22782.158346845899</v>
      </c>
      <c r="X56" s="5">
        <f t="shared" si="10"/>
        <v>89600.955301477341</v>
      </c>
      <c r="Y56" s="5"/>
      <c r="AA56" s="63">
        <f t="shared" si="11"/>
        <v>15679.738591872845</v>
      </c>
      <c r="AB56" s="5">
        <f t="shared" si="12"/>
        <v>61667.535416096936</v>
      </c>
      <c r="AP56" s="3">
        <v>43</v>
      </c>
      <c r="AR56" s="14">
        <f t="shared" si="3"/>
        <v>0</v>
      </c>
      <c r="AS56" s="17" t="e">
        <f>IF(OR(AS55=0,AS55&gt;=#REF!),0,FV($O$1,AP56,-#REF!,0,1))</f>
        <v>#REF!</v>
      </c>
      <c r="AU56" s="5">
        <f t="shared" si="16"/>
        <v>83869.127841424124</v>
      </c>
      <c r="AW56" s="26">
        <f t="shared" si="1"/>
        <v>0</v>
      </c>
      <c r="AX56" s="26">
        <f t="shared" si="2"/>
        <v>0</v>
      </c>
      <c r="AY56" s="11" cm="1">
        <f t="array" ref="AY56">IF(AX56=0,IF(AW56&gt;0,INDEX($AU$13:$AU$611,AW56*12),0),INDEX($AU$13:$AU$611,AW56*12+AX56))</f>
        <v>0</v>
      </c>
      <c r="AZ56" s="11">
        <f t="shared" si="14"/>
        <v>0</v>
      </c>
      <c r="BA56" s="11">
        <f t="shared" si="17"/>
        <v>0</v>
      </c>
      <c r="BB56" s="37">
        <f t="shared" si="0"/>
        <v>0</v>
      </c>
    </row>
    <row r="57" spans="12:54" hidden="1" x14ac:dyDescent="0.25">
      <c r="L57" s="2" t="str">
        <f t="shared" si="15"/>
        <v/>
      </c>
      <c r="M57" s="45">
        <f t="shared" si="13"/>
        <v>3</v>
      </c>
      <c r="N57" s="36">
        <v>37</v>
      </c>
      <c r="O57" s="91">
        <f t="shared" si="7"/>
        <v>17247.712451060132</v>
      </c>
      <c r="P57" s="38">
        <f t="shared" si="8"/>
        <v>67196.673635684871</v>
      </c>
      <c r="W57" s="26">
        <f t="shared" si="9"/>
        <v>22782.158346845899</v>
      </c>
      <c r="X57" s="5">
        <f t="shared" si="10"/>
        <v>88758.741977716709</v>
      </c>
      <c r="Y57" s="5"/>
      <c r="AA57" s="63">
        <f t="shared" si="11"/>
        <v>17247.712451060132</v>
      </c>
      <c r="AB57" s="5">
        <f t="shared" si="12"/>
        <v>67196.673635684871</v>
      </c>
      <c r="AP57" s="3">
        <v>44</v>
      </c>
      <c r="AR57" s="14">
        <f t="shared" si="3"/>
        <v>0</v>
      </c>
      <c r="AS57" s="17" t="e">
        <f>IF(OR(AS56=0,AS56&gt;=#REF!),0,FV($O$1,AP57,-#REF!,0,1))</f>
        <v>#REF!</v>
      </c>
      <c r="AU57" s="5">
        <f t="shared" si="16"/>
        <v>83080.791414847336</v>
      </c>
      <c r="AW57" s="26">
        <f t="shared" si="1"/>
        <v>0</v>
      </c>
      <c r="AX57" s="26">
        <f t="shared" si="2"/>
        <v>0</v>
      </c>
      <c r="AY57" s="11" cm="1">
        <f t="array" ref="AY57">IF(AX57=0,IF(AW57&gt;0,INDEX($AU$13:$AU$611,AW57*12),0),INDEX($AU$13:$AU$611,AW57*12+AX57))</f>
        <v>0</v>
      </c>
      <c r="AZ57" s="11">
        <f t="shared" si="14"/>
        <v>0</v>
      </c>
      <c r="BA57" s="11">
        <f t="shared" si="17"/>
        <v>0</v>
      </c>
      <c r="BB57" s="37">
        <f t="shared" si="0"/>
        <v>0</v>
      </c>
    </row>
    <row r="58" spans="12:54" hidden="1" x14ac:dyDescent="0.25">
      <c r="L58" s="2" t="str">
        <f t="shared" si="15"/>
        <v/>
      </c>
      <c r="M58" s="45">
        <f t="shared" si="13"/>
        <v>3</v>
      </c>
      <c r="N58" s="36">
        <v>38</v>
      </c>
      <c r="O58" s="91">
        <f t="shared" si="7"/>
        <v>17247.712451060132</v>
      </c>
      <c r="P58" s="38">
        <f t="shared" si="8"/>
        <v>66565.051643955565</v>
      </c>
      <c r="W58" s="26">
        <f t="shared" si="9"/>
        <v>22782.158346845899</v>
      </c>
      <c r="X58" s="5">
        <f t="shared" si="10"/>
        <v>87924.445124046528</v>
      </c>
      <c r="Y58" s="5"/>
      <c r="AA58" s="63">
        <f t="shared" si="11"/>
        <v>17247.712451060132</v>
      </c>
      <c r="AB58" s="5">
        <f t="shared" si="12"/>
        <v>66565.051643955565</v>
      </c>
      <c r="AP58" s="3">
        <v>45</v>
      </c>
      <c r="AR58" s="14">
        <f t="shared" si="3"/>
        <v>0</v>
      </c>
      <c r="AS58" s="17" t="e">
        <f>IF(OR(AS57=0,AS57&gt;=#REF!),0,FV($O$1,AP58,-#REF!,0,1))</f>
        <v>#REF!</v>
      </c>
      <c r="AU58" s="5">
        <f t="shared" si="16"/>
        <v>82299.865036967429</v>
      </c>
      <c r="AW58" s="26">
        <f t="shared" si="1"/>
        <v>0</v>
      </c>
      <c r="AX58" s="26">
        <f t="shared" si="2"/>
        <v>0</v>
      </c>
      <c r="AY58" s="11" cm="1">
        <f t="array" ref="AY58">IF(AX58=0,IF(AW58&gt;0,INDEX($AU$13:$AU$611,AW58*12),0),INDEX($AU$13:$AU$611,AW58*12+AX58))</f>
        <v>0</v>
      </c>
      <c r="AZ58" s="11">
        <f t="shared" si="14"/>
        <v>0</v>
      </c>
      <c r="BA58" s="11">
        <f t="shared" si="17"/>
        <v>0</v>
      </c>
      <c r="BB58" s="37">
        <f t="shared" si="0"/>
        <v>0</v>
      </c>
    </row>
    <row r="59" spans="12:54" hidden="1" x14ac:dyDescent="0.25">
      <c r="L59" s="2" t="str">
        <f t="shared" si="15"/>
        <v/>
      </c>
      <c r="M59" s="45">
        <f t="shared" si="13"/>
        <v>3</v>
      </c>
      <c r="N59" s="36">
        <v>39</v>
      </c>
      <c r="O59" s="91">
        <f t="shared" si="7"/>
        <v>17247.712451060132</v>
      </c>
      <c r="P59" s="38">
        <f t="shared" si="8"/>
        <v>65939.36664759893</v>
      </c>
      <c r="W59" s="26">
        <f t="shared" si="9"/>
        <v>22782.158346845899</v>
      </c>
      <c r="X59" s="5">
        <f t="shared" si="10"/>
        <v>87097.990328798231</v>
      </c>
      <c r="Y59" s="5"/>
      <c r="AA59" s="63">
        <f t="shared" si="11"/>
        <v>17247.712451060132</v>
      </c>
      <c r="AB59" s="5">
        <f t="shared" si="12"/>
        <v>65939.36664759893</v>
      </c>
      <c r="AP59" s="3">
        <v>46</v>
      </c>
      <c r="AR59" s="14">
        <f t="shared" si="3"/>
        <v>0</v>
      </c>
      <c r="AS59" s="17" t="e">
        <f>IF(OR(AS58=0,AS58&gt;=#REF!),0,FV($O$1,AP59,-#REF!,0,1))</f>
        <v>#REF!</v>
      </c>
      <c r="AU59" s="5">
        <f t="shared" si="16"/>
        <v>81526.279056275394</v>
      </c>
      <c r="AW59" s="26">
        <f t="shared" si="1"/>
        <v>0</v>
      </c>
      <c r="AX59" s="26">
        <f t="shared" si="2"/>
        <v>0</v>
      </c>
      <c r="AY59" s="11" cm="1">
        <f t="array" ref="AY59">IF(AX59=0,IF(AW59&gt;0,INDEX($AU$13:$AU$611,AW59*12),0),INDEX($AU$13:$AU$611,AW59*12+AX59))</f>
        <v>0</v>
      </c>
      <c r="AZ59" s="11">
        <f t="shared" si="14"/>
        <v>0</v>
      </c>
      <c r="BA59" s="11">
        <f t="shared" si="17"/>
        <v>0</v>
      </c>
      <c r="BB59" s="37">
        <f t="shared" si="0"/>
        <v>0</v>
      </c>
    </row>
    <row r="60" spans="12:54" hidden="1" x14ac:dyDescent="0.25">
      <c r="L60" s="2" t="str">
        <f t="shared" si="15"/>
        <v/>
      </c>
      <c r="M60" s="45">
        <f t="shared" si="13"/>
        <v>3</v>
      </c>
      <c r="N60" s="36">
        <v>40</v>
      </c>
      <c r="O60" s="91">
        <f t="shared" si="7"/>
        <v>17247.712451060132</v>
      </c>
      <c r="P60" s="38">
        <f t="shared" si="8"/>
        <v>65319.562841221094</v>
      </c>
      <c r="W60" s="26">
        <f t="shared" si="9"/>
        <v>22782.158346845899</v>
      </c>
      <c r="X60" s="5">
        <f t="shared" si="10"/>
        <v>86279.303879743369</v>
      </c>
      <c r="Y60" s="5"/>
      <c r="AA60" s="63">
        <f t="shared" si="11"/>
        <v>17247.712451060132</v>
      </c>
      <c r="AB60" s="5">
        <f t="shared" si="12"/>
        <v>65319.562841221094</v>
      </c>
      <c r="AP60" s="3">
        <v>47</v>
      </c>
      <c r="AR60" s="14">
        <f t="shared" si="3"/>
        <v>0</v>
      </c>
      <c r="AS60" s="17" t="e">
        <f>IF(OR(AS59=0,AS59&gt;=#REF!),0,FV($O$1,AP60,-#REF!,0,1))</f>
        <v>#REF!</v>
      </c>
      <c r="AU60" s="5">
        <f t="shared" si="16"/>
        <v>80759.964475958739</v>
      </c>
      <c r="AW60" s="26">
        <f t="shared" si="1"/>
        <v>0</v>
      </c>
      <c r="AX60" s="26">
        <f t="shared" si="2"/>
        <v>0</v>
      </c>
      <c r="AY60" s="11" cm="1">
        <f t="array" ref="AY60">IF(AX60=0,IF(AW60&gt;0,INDEX($AU$13:$AU$611,AW60*12),0),INDEX($AU$13:$AU$611,AW60*12+AX60))</f>
        <v>0</v>
      </c>
      <c r="AZ60" s="11">
        <f t="shared" si="14"/>
        <v>0</v>
      </c>
      <c r="BA60" s="11">
        <f t="shared" si="17"/>
        <v>0</v>
      </c>
      <c r="BB60" s="37">
        <f t="shared" si="0"/>
        <v>0</v>
      </c>
    </row>
    <row r="61" spans="12:54" hidden="1" x14ac:dyDescent="0.25">
      <c r="L61" s="2" t="str">
        <f t="shared" si="15"/>
        <v/>
      </c>
      <c r="M61" s="45">
        <f t="shared" si="13"/>
        <v>3</v>
      </c>
      <c r="N61" s="36">
        <v>41</v>
      </c>
      <c r="O61" s="91">
        <f t="shared" si="7"/>
        <v>17247.712451060132</v>
      </c>
      <c r="P61" s="38">
        <f t="shared" si="8"/>
        <v>64705.584943976632</v>
      </c>
      <c r="W61" s="26">
        <f t="shared" si="9"/>
        <v>22782.158346845899</v>
      </c>
      <c r="X61" s="5">
        <f t="shared" si="10"/>
        <v>85468.312757519088</v>
      </c>
      <c r="Y61" s="5"/>
      <c r="AA61" s="63">
        <f t="shared" si="11"/>
        <v>17247.712451060132</v>
      </c>
      <c r="AB61" s="5">
        <f t="shared" si="12"/>
        <v>64705.584943976632</v>
      </c>
      <c r="AP61" s="3">
        <v>48</v>
      </c>
      <c r="AR61" s="14">
        <f t="shared" si="3"/>
        <v>0</v>
      </c>
      <c r="AS61" s="17" t="e">
        <f>IF(OR(AS60=0,AS60&gt;=#REF!),0,FV($O$1,AP61,-#REF!,0,1))</f>
        <v>#REF!</v>
      </c>
      <c r="AU61" s="5">
        <f t="shared" si="16"/>
        <v>80000.852947747524</v>
      </c>
      <c r="AW61" s="26">
        <f t="shared" si="1"/>
        <v>0</v>
      </c>
      <c r="AX61" s="26">
        <f t="shared" si="2"/>
        <v>0</v>
      </c>
      <c r="AY61" s="11" cm="1">
        <f t="array" ref="AY61">IF(AX61=0,IF(AW61&gt;0,INDEX($AU$13:$AU$611,AW61*12),0),INDEX($AU$13:$AU$611,AW61*12+AX61))</f>
        <v>0</v>
      </c>
      <c r="AZ61" s="11">
        <f t="shared" si="14"/>
        <v>0</v>
      </c>
      <c r="BA61" s="11">
        <f t="shared" si="17"/>
        <v>0</v>
      </c>
      <c r="BB61" s="37">
        <f t="shared" si="0"/>
        <v>0</v>
      </c>
    </row>
    <row r="62" spans="12:54" hidden="1" x14ac:dyDescent="0.25">
      <c r="L62" s="2" t="str">
        <f t="shared" si="15"/>
        <v/>
      </c>
      <c r="M62" s="45">
        <f t="shared" si="13"/>
        <v>3</v>
      </c>
      <c r="N62" s="36">
        <v>42</v>
      </c>
      <c r="O62" s="91">
        <f t="shared" si="7"/>
        <v>17247.712451060132</v>
      </c>
      <c r="P62" s="38">
        <f t="shared" si="8"/>
        <v>64097.378194638048</v>
      </c>
      <c r="W62" s="26">
        <f t="shared" si="9"/>
        <v>22782.158346845899</v>
      </c>
      <c r="X62" s="5">
        <f t="shared" si="10"/>
        <v>84664.944629115475</v>
      </c>
      <c r="Y62" s="5"/>
      <c r="AA62" s="63">
        <f t="shared" si="11"/>
        <v>17247.712451060132</v>
      </c>
      <c r="AB62" s="5">
        <f t="shared" si="12"/>
        <v>64097.378194638048</v>
      </c>
      <c r="AP62" s="3">
        <v>49</v>
      </c>
      <c r="AR62" s="14">
        <f t="shared" si="3"/>
        <v>0</v>
      </c>
      <c r="AS62" s="17" t="e">
        <f>IF(OR(AS61=0,AS61&gt;=#REF!),0,FV($O$1,AP62,-#REF!,0,1))</f>
        <v>#REF!</v>
      </c>
      <c r="AU62" s="5">
        <f t="shared" si="16"/>
        <v>79248.876765818379</v>
      </c>
      <c r="AW62" s="26">
        <f t="shared" si="1"/>
        <v>0</v>
      </c>
      <c r="AX62" s="26">
        <f t="shared" si="2"/>
        <v>0</v>
      </c>
      <c r="AY62" s="11" cm="1">
        <f t="array" ref="AY62">IF(AX62=0,IF(AW62&gt;0,INDEX($AU$13:$AU$611,AW62*12),0),INDEX($AU$13:$AU$611,AW62*12+AX62))</f>
        <v>0</v>
      </c>
      <c r="AZ62" s="11">
        <f t="shared" si="14"/>
        <v>0</v>
      </c>
      <c r="BA62" s="11">
        <f t="shared" si="17"/>
        <v>0</v>
      </c>
      <c r="BB62" s="37">
        <f t="shared" si="0"/>
        <v>0</v>
      </c>
    </row>
    <row r="63" spans="12:54" hidden="1" x14ac:dyDescent="0.25">
      <c r="L63" s="2" t="str">
        <f t="shared" si="15"/>
        <v/>
      </c>
      <c r="M63" s="45">
        <f t="shared" si="13"/>
        <v>3</v>
      </c>
      <c r="N63" s="36">
        <v>43</v>
      </c>
      <c r="O63" s="91">
        <f t="shared" si="7"/>
        <v>17247.712451060132</v>
      </c>
      <c r="P63" s="38">
        <f t="shared" si="8"/>
        <v>63494.888346711625</v>
      </c>
      <c r="W63" s="26">
        <f t="shared" si="9"/>
        <v>22782.158346845899</v>
      </c>
      <c r="X63" s="5">
        <f t="shared" si="10"/>
        <v>83869.127841424124</v>
      </c>
      <c r="Y63" s="5"/>
      <c r="AA63" s="63">
        <f t="shared" si="11"/>
        <v>17247.712451060132</v>
      </c>
      <c r="AB63" s="5">
        <f t="shared" si="12"/>
        <v>63494.888346711625</v>
      </c>
      <c r="AP63" s="3">
        <v>50</v>
      </c>
      <c r="AR63" s="14">
        <f t="shared" si="3"/>
        <v>0</v>
      </c>
      <c r="AS63" s="17" t="e">
        <f>IF(OR(AS62=0,AS62&gt;=#REF!),0,FV($O$1,AP63,-#REF!,0,1))</f>
        <v>#REF!</v>
      </c>
      <c r="AU63" s="5">
        <f t="shared" si="16"/>
        <v>78503.968860755718</v>
      </c>
      <c r="AW63" s="26">
        <f t="shared" si="1"/>
        <v>0</v>
      </c>
      <c r="AX63" s="26">
        <f t="shared" si="2"/>
        <v>0</v>
      </c>
      <c r="AY63" s="11" cm="1">
        <f t="array" ref="AY63">IF(AX63=0,IF(AW63&gt;0,INDEX($AU$13:$AU$611,AW63*12),0),INDEX($AU$13:$AU$611,AW63*12+AX63))</f>
        <v>0</v>
      </c>
      <c r="AZ63" s="11">
        <f t="shared" si="14"/>
        <v>0</v>
      </c>
      <c r="BA63" s="11">
        <f t="shared" si="17"/>
        <v>0</v>
      </c>
      <c r="BB63" s="37">
        <f t="shared" si="0"/>
        <v>0</v>
      </c>
    </row>
    <row r="64" spans="12:54" hidden="1" x14ac:dyDescent="0.25">
      <c r="L64" s="2" t="str">
        <f t="shared" si="15"/>
        <v/>
      </c>
      <c r="M64" s="45">
        <f t="shared" si="13"/>
        <v>3</v>
      </c>
      <c r="N64" s="36">
        <v>44</v>
      </c>
      <c r="O64" s="91">
        <f t="shared" si="7"/>
        <v>17247.712451060132</v>
      </c>
      <c r="P64" s="38">
        <f t="shared" si="8"/>
        <v>62898.061663599088</v>
      </c>
      <c r="W64" s="26">
        <f t="shared" si="9"/>
        <v>22782.158346845899</v>
      </c>
      <c r="X64" s="5">
        <f t="shared" si="10"/>
        <v>83080.791414847336</v>
      </c>
      <c r="Y64" s="5"/>
      <c r="AA64" s="63">
        <f t="shared" si="11"/>
        <v>17247.712451060132</v>
      </c>
      <c r="AB64" s="5">
        <f t="shared" si="12"/>
        <v>62898.061663599088</v>
      </c>
      <c r="AP64" s="3">
        <v>51</v>
      </c>
      <c r="AR64" s="14">
        <f t="shared" si="3"/>
        <v>0</v>
      </c>
      <c r="AS64" s="17" t="e">
        <f>IF(OR(AS63=0,AS63&gt;=#REF!),0,FV($O$1,AP64,-#REF!,0,1))</f>
        <v>#REF!</v>
      </c>
      <c r="AU64" s="5">
        <f t="shared" si="16"/>
        <v>77766.062793569756</v>
      </c>
      <c r="AW64" s="26">
        <f t="shared" si="1"/>
        <v>0</v>
      </c>
      <c r="AX64" s="26">
        <f t="shared" si="2"/>
        <v>0</v>
      </c>
      <c r="AY64" s="11" cm="1">
        <f t="array" ref="AY64">IF(AX64=0,IF(AW64&gt;0,INDEX($AU$13:$AU$611,AW64*12),0),INDEX($AU$13:$AU$611,AW64*12+AX64))</f>
        <v>0</v>
      </c>
      <c r="AZ64" s="11">
        <f t="shared" si="14"/>
        <v>0</v>
      </c>
      <c r="BA64" s="11">
        <f t="shared" si="17"/>
        <v>0</v>
      </c>
      <c r="BB64" s="37">
        <f t="shared" si="0"/>
        <v>0</v>
      </c>
    </row>
    <row r="65" spans="12:54" hidden="1" x14ac:dyDescent="0.25">
      <c r="L65" s="2" t="str">
        <f t="shared" si="15"/>
        <v/>
      </c>
      <c r="M65" s="45">
        <f t="shared" si="13"/>
        <v>3</v>
      </c>
      <c r="N65" s="36">
        <v>45</v>
      </c>
      <c r="O65" s="91">
        <f t="shared" si="7"/>
        <v>17247.712451060132</v>
      </c>
      <c r="P65" s="38">
        <f t="shared" si="8"/>
        <v>62306.844913804824</v>
      </c>
      <c r="W65" s="26">
        <f t="shared" si="9"/>
        <v>22782.158346845899</v>
      </c>
      <c r="X65" s="5">
        <f t="shared" si="10"/>
        <v>82299.865036967429</v>
      </c>
      <c r="Y65" s="5"/>
      <c r="AA65" s="63">
        <f t="shared" si="11"/>
        <v>17247.712451060132</v>
      </c>
      <c r="AB65" s="5">
        <f t="shared" si="12"/>
        <v>62306.844913804824</v>
      </c>
      <c r="AP65" s="3">
        <v>52</v>
      </c>
      <c r="AR65" s="14">
        <f t="shared" si="3"/>
        <v>0</v>
      </c>
      <c r="AS65" s="17" t="e">
        <f>IF(OR(AS64=0,AS64&gt;=#REF!),0,FV($O$1,AP65,-#REF!,0,1))</f>
        <v>#REF!</v>
      </c>
      <c r="AU65" s="5">
        <f t="shared" si="16"/>
        <v>77035.09274977076</v>
      </c>
      <c r="AW65" s="26">
        <f t="shared" si="1"/>
        <v>0</v>
      </c>
      <c r="AX65" s="26">
        <f t="shared" si="2"/>
        <v>0</v>
      </c>
      <c r="AY65" s="11" cm="1">
        <f t="array" ref="AY65">IF(AX65=0,IF(AW65&gt;0,INDEX($AU$13:$AU$611,AW65*12),0),INDEX($AU$13:$AU$611,AW65*12+AX65))</f>
        <v>0</v>
      </c>
      <c r="AZ65" s="11">
        <f t="shared" si="14"/>
        <v>0</v>
      </c>
      <c r="BA65" s="11">
        <f t="shared" si="17"/>
        <v>0</v>
      </c>
      <c r="BB65" s="37">
        <f t="shared" si="0"/>
        <v>0</v>
      </c>
    </row>
    <row r="66" spans="12:54" hidden="1" x14ac:dyDescent="0.25">
      <c r="L66" s="2" t="str">
        <f t="shared" si="15"/>
        <v/>
      </c>
      <c r="M66" s="45">
        <f t="shared" si="13"/>
        <v>3</v>
      </c>
      <c r="N66" s="36">
        <v>46</v>
      </c>
      <c r="O66" s="91">
        <f t="shared" si="7"/>
        <v>17247.712451060132</v>
      </c>
      <c r="P66" s="38">
        <f t="shared" si="8"/>
        <v>61721.185366188045</v>
      </c>
      <c r="W66" s="26">
        <f t="shared" si="9"/>
        <v>22782.158346845899</v>
      </c>
      <c r="X66" s="5">
        <f t="shared" si="10"/>
        <v>81526.279056275394</v>
      </c>
      <c r="Y66" s="5"/>
      <c r="AA66" s="63">
        <f t="shared" si="11"/>
        <v>17247.712451060132</v>
      </c>
      <c r="AB66" s="5">
        <f t="shared" si="12"/>
        <v>61721.185366188045</v>
      </c>
      <c r="AP66" s="3">
        <v>53</v>
      </c>
      <c r="AR66" s="14">
        <f t="shared" si="3"/>
        <v>0</v>
      </c>
      <c r="AS66" s="17" t="e">
        <f>IF(OR(AS65=0,AS65&gt;=#REF!),0,FV($O$1,AP66,-#REF!,0,1))</f>
        <v>#REF!</v>
      </c>
      <c r="AU66" s="5">
        <f t="shared" si="16"/>
        <v>76310.993533499088</v>
      </c>
      <c r="AW66" s="26">
        <f t="shared" si="1"/>
        <v>0</v>
      </c>
      <c r="AX66" s="26">
        <f t="shared" si="2"/>
        <v>0</v>
      </c>
      <c r="AY66" s="11" cm="1">
        <f t="array" ref="AY66">IF(AX66=0,IF(AW66&gt;0,INDEX($AU$13:$AU$611,AW66*12),0),INDEX($AU$13:$AU$611,AW66*12+AX66))</f>
        <v>0</v>
      </c>
      <c r="AZ66" s="11">
        <f t="shared" si="14"/>
        <v>0</v>
      </c>
      <c r="BA66" s="11">
        <f t="shared" si="17"/>
        <v>0</v>
      </c>
      <c r="BB66" s="37">
        <f t="shared" si="0"/>
        <v>0</v>
      </c>
    </row>
    <row r="67" spans="12:54" hidden="1" x14ac:dyDescent="0.25">
      <c r="L67" s="2" t="str">
        <f t="shared" si="15"/>
        <v/>
      </c>
      <c r="M67" s="45">
        <f t="shared" si="13"/>
        <v>3</v>
      </c>
      <c r="N67" s="36">
        <v>47</v>
      </c>
      <c r="O67" s="91">
        <f t="shared" si="7"/>
        <v>17247.712451060132</v>
      </c>
      <c r="P67" s="38">
        <f t="shared" si="8"/>
        <v>61141.030785259747</v>
      </c>
      <c r="W67" s="26">
        <f t="shared" si="9"/>
        <v>22782.158346845899</v>
      </c>
      <c r="X67" s="5">
        <f t="shared" si="10"/>
        <v>80759.964475958739</v>
      </c>
      <c r="Y67" s="5"/>
      <c r="AA67" s="63">
        <f t="shared" si="11"/>
        <v>17247.712451060132</v>
      </c>
      <c r="AB67" s="5">
        <f t="shared" si="12"/>
        <v>61141.030785259747</v>
      </c>
      <c r="AP67" s="3">
        <v>54</v>
      </c>
      <c r="AR67" s="14">
        <f t="shared" si="3"/>
        <v>0</v>
      </c>
      <c r="AS67" s="17" t="e">
        <f>IF(OR(AS66=0,AS66&gt;=#REF!),0,FV($O$1,AP67,-#REF!,0,1))</f>
        <v>#REF!</v>
      </c>
      <c r="AU67" s="5">
        <f t="shared" si="16"/>
        <v>75593.700561710139</v>
      </c>
      <c r="AW67" s="26">
        <f t="shared" si="1"/>
        <v>0</v>
      </c>
      <c r="AX67" s="26">
        <f t="shared" si="2"/>
        <v>0</v>
      </c>
      <c r="AY67" s="11" cm="1">
        <f t="array" ref="AY67">IF(AX67=0,IF(AW67&gt;0,INDEX($AU$13:$AU$611,AW67*12),0),INDEX($AU$13:$AU$611,AW67*12+AX67))</f>
        <v>0</v>
      </c>
      <c r="AZ67" s="11">
        <f t="shared" si="14"/>
        <v>0</v>
      </c>
      <c r="BA67" s="11">
        <f t="shared" si="17"/>
        <v>0</v>
      </c>
      <c r="BB67" s="37">
        <f t="shared" si="0"/>
        <v>0</v>
      </c>
    </row>
    <row r="68" spans="12:54" hidden="1" x14ac:dyDescent="0.25">
      <c r="L68" s="2" t="str">
        <f t="shared" si="15"/>
        <v/>
      </c>
      <c r="M68" s="45">
        <f t="shared" si="13"/>
        <v>3</v>
      </c>
      <c r="N68" s="36">
        <v>48</v>
      </c>
      <c r="O68" s="91">
        <f t="shared" si="7"/>
        <v>17247.712451060132</v>
      </c>
      <c r="P68" s="38">
        <f t="shared" si="8"/>
        <v>60566.329426523713</v>
      </c>
      <c r="W68" s="26">
        <f t="shared" si="9"/>
        <v>22782.158346845899</v>
      </c>
      <c r="X68" s="5">
        <f t="shared" si="10"/>
        <v>80000.852947747524</v>
      </c>
      <c r="Y68" s="5"/>
      <c r="AA68" s="63">
        <f t="shared" si="11"/>
        <v>17247.712451060132</v>
      </c>
      <c r="AB68" s="5">
        <f t="shared" si="12"/>
        <v>60566.329426523713</v>
      </c>
      <c r="AP68" s="3">
        <v>55</v>
      </c>
      <c r="AR68" s="14">
        <f t="shared" si="3"/>
        <v>0</v>
      </c>
      <c r="AS68" s="17" t="e">
        <f>IF(OR(AS67=0,AS67&gt;=#REF!),0,FV($O$1,AP68,-#REF!,0,1))</f>
        <v>#REF!</v>
      </c>
      <c r="AU68" s="5">
        <f t="shared" si="16"/>
        <v>74883.149858414297</v>
      </c>
      <c r="AW68" s="26">
        <f t="shared" si="1"/>
        <v>0</v>
      </c>
      <c r="AX68" s="26">
        <f t="shared" si="2"/>
        <v>0</v>
      </c>
      <c r="AY68" s="11" cm="1">
        <f t="array" ref="AY68">IF(AX68=0,IF(AW68&gt;0,INDEX($AU$13:$AU$611,AW68*12),0),INDEX($AU$13:$AU$611,AW68*12+AX68))</f>
        <v>0</v>
      </c>
      <c r="AZ68" s="11">
        <f t="shared" si="14"/>
        <v>0</v>
      </c>
      <c r="BA68" s="11">
        <f t="shared" si="17"/>
        <v>0</v>
      </c>
      <c r="BB68" s="37">
        <f t="shared" si="0"/>
        <v>0</v>
      </c>
    </row>
    <row r="69" spans="12:54" hidden="1" x14ac:dyDescent="0.25">
      <c r="L69" s="2" t="str">
        <f t="shared" si="15"/>
        <v/>
      </c>
      <c r="M69" s="45">
        <f t="shared" si="13"/>
        <v>4</v>
      </c>
      <c r="N69" s="36">
        <v>49</v>
      </c>
      <c r="O69" s="91">
        <f t="shared" si="7"/>
        <v>18972.483696166146</v>
      </c>
      <c r="P69" s="38">
        <f t="shared" si="8"/>
        <v>65996.733035047568</v>
      </c>
      <c r="W69" s="26">
        <f t="shared" si="9"/>
        <v>22782.158346845899</v>
      </c>
      <c r="X69" s="5">
        <f t="shared" si="10"/>
        <v>79248.876765818379</v>
      </c>
      <c r="Y69" s="5"/>
      <c r="AA69" s="63">
        <f t="shared" si="11"/>
        <v>18972.483696166146</v>
      </c>
      <c r="AB69" s="5">
        <f t="shared" si="12"/>
        <v>65996.733035047568</v>
      </c>
      <c r="AP69" s="3">
        <v>56</v>
      </c>
      <c r="AR69" s="14">
        <f t="shared" si="3"/>
        <v>0</v>
      </c>
      <c r="AS69" s="17" t="e">
        <f>IF(OR(AS68=0,AS68&gt;=#REF!),0,FV($O$1,AP69,-#REF!,0,1))</f>
        <v>#REF!</v>
      </c>
      <c r="AU69" s="5">
        <f t="shared" si="16"/>
        <v>74179.278048970737</v>
      </c>
      <c r="AW69" s="26">
        <f t="shared" si="1"/>
        <v>0</v>
      </c>
      <c r="AX69" s="26">
        <f t="shared" si="2"/>
        <v>0</v>
      </c>
      <c r="AY69" s="11" cm="1">
        <f t="array" ref="AY69">IF(AX69=0,IF(AW69&gt;0,INDEX($AU$13:$AU$611,AW69*12),0),INDEX($AU$13:$AU$611,AW69*12+AX69))</f>
        <v>0</v>
      </c>
      <c r="AZ69" s="11">
        <f t="shared" si="14"/>
        <v>0</v>
      </c>
      <c r="BA69" s="11">
        <f t="shared" si="17"/>
        <v>0</v>
      </c>
      <c r="BB69" s="37">
        <f t="shared" si="0"/>
        <v>0</v>
      </c>
    </row>
    <row r="70" spans="12:54" hidden="1" x14ac:dyDescent="0.25">
      <c r="L70" s="2" t="str">
        <f t="shared" si="15"/>
        <v/>
      </c>
      <c r="M70" s="45">
        <f t="shared" si="13"/>
        <v>4</v>
      </c>
      <c r="N70" s="36">
        <v>50</v>
      </c>
      <c r="O70" s="91">
        <f t="shared" si="7"/>
        <v>18972.483696166146</v>
      </c>
      <c r="P70" s="38">
        <f t="shared" si="8"/>
        <v>65376.39000745627</v>
      </c>
      <c r="W70" s="26">
        <f t="shared" si="9"/>
        <v>22782.158346845899</v>
      </c>
      <c r="X70" s="5">
        <f t="shared" si="10"/>
        <v>78503.968860755718</v>
      </c>
      <c r="Y70" s="5"/>
      <c r="AA70" s="63">
        <f t="shared" si="11"/>
        <v>18972.483696166146</v>
      </c>
      <c r="AB70" s="5">
        <f t="shared" si="12"/>
        <v>65376.39000745627</v>
      </c>
      <c r="AP70" s="3">
        <v>57</v>
      </c>
      <c r="AR70" s="14">
        <f t="shared" si="3"/>
        <v>0</v>
      </c>
      <c r="AS70" s="17" t="e">
        <f>IF(OR(AS69=0,AS69&gt;=#REF!),0,FV($O$1,AP70,-#REF!,0,1))</f>
        <v>#REF!</v>
      </c>
      <c r="AU70" s="5">
        <f t="shared" si="16"/>
        <v>73482.022354435103</v>
      </c>
      <c r="AW70" s="26">
        <f t="shared" si="1"/>
        <v>0</v>
      </c>
      <c r="AX70" s="26">
        <f t="shared" si="2"/>
        <v>0</v>
      </c>
      <c r="AY70" s="11" cm="1">
        <f t="array" ref="AY70">IF(AX70=0,IF(AW70&gt;0,INDEX($AU$13:$AU$611,AW70*12),0),INDEX($AU$13:$AU$611,AW70*12+AX70))</f>
        <v>0</v>
      </c>
      <c r="AZ70" s="11">
        <f t="shared" si="14"/>
        <v>0</v>
      </c>
      <c r="BA70" s="11">
        <f t="shared" si="17"/>
        <v>0</v>
      </c>
      <c r="BB70" s="37">
        <f t="shared" si="0"/>
        <v>0</v>
      </c>
    </row>
    <row r="71" spans="12:54" hidden="1" x14ac:dyDescent="0.25">
      <c r="L71" s="2" t="str">
        <f t="shared" si="15"/>
        <v/>
      </c>
      <c r="M71" s="45">
        <f t="shared" si="13"/>
        <v>4</v>
      </c>
      <c r="N71" s="36">
        <v>51</v>
      </c>
      <c r="O71" s="91">
        <f t="shared" si="7"/>
        <v>18972.483696166146</v>
      </c>
      <c r="P71" s="38">
        <f t="shared" si="8"/>
        <v>64761.877957463163</v>
      </c>
      <c r="W71" s="26">
        <f t="shared" si="9"/>
        <v>22782.158346845899</v>
      </c>
      <c r="X71" s="5">
        <f t="shared" si="10"/>
        <v>77766.062793569756</v>
      </c>
      <c r="Y71" s="5"/>
      <c r="AA71" s="63">
        <f t="shared" si="11"/>
        <v>18972.483696166146</v>
      </c>
      <c r="AB71" s="5">
        <f t="shared" si="12"/>
        <v>64761.877957463163</v>
      </c>
      <c r="AP71" s="3">
        <v>58</v>
      </c>
      <c r="AR71" s="14">
        <f t="shared" si="3"/>
        <v>0</v>
      </c>
      <c r="AS71" s="17" t="e">
        <f>IF(OR(AS70=0,AS70&gt;=#REF!),0,FV($O$1,AP71,-#REF!,0,1))</f>
        <v>#REF!</v>
      </c>
      <c r="AU71" s="5">
        <f t="shared" si="16"/>
        <v>72791.320585960071</v>
      </c>
      <c r="AW71" s="26">
        <f t="shared" si="1"/>
        <v>0</v>
      </c>
      <c r="AX71" s="26">
        <f t="shared" si="2"/>
        <v>0</v>
      </c>
      <c r="AY71" s="11" cm="1">
        <f t="array" ref="AY71">IF(AX71=0,IF(AW71&gt;0,INDEX($AU$13:$AU$611,AW71*12),0),INDEX($AU$13:$AU$611,AW71*12+AX71))</f>
        <v>0</v>
      </c>
      <c r="AZ71" s="11">
        <f t="shared" si="14"/>
        <v>0</v>
      </c>
      <c r="BA71" s="11">
        <f t="shared" si="17"/>
        <v>0</v>
      </c>
      <c r="BB71" s="37">
        <f t="shared" si="0"/>
        <v>0</v>
      </c>
    </row>
    <row r="72" spans="12:54" hidden="1" x14ac:dyDescent="0.25">
      <c r="L72" s="2" t="str">
        <f t="shared" si="15"/>
        <v/>
      </c>
      <c r="M72" s="45">
        <f t="shared" si="13"/>
        <v>4</v>
      </c>
      <c r="N72" s="36">
        <v>52</v>
      </c>
      <c r="O72" s="91">
        <f t="shared" si="7"/>
        <v>18972.483696166146</v>
      </c>
      <c r="P72" s="38">
        <f t="shared" si="8"/>
        <v>64153.142076199212</v>
      </c>
      <c r="W72" s="26">
        <f t="shared" si="9"/>
        <v>22782.158346845899</v>
      </c>
      <c r="X72" s="5">
        <f t="shared" si="10"/>
        <v>77035.09274977076</v>
      </c>
      <c r="Y72" s="5"/>
      <c r="AA72" s="63">
        <f t="shared" si="11"/>
        <v>18972.483696166146</v>
      </c>
      <c r="AB72" s="5">
        <f t="shared" si="12"/>
        <v>64153.142076199212</v>
      </c>
      <c r="AP72" s="3">
        <v>59</v>
      </c>
      <c r="AR72" s="14">
        <f t="shared" si="3"/>
        <v>0</v>
      </c>
      <c r="AS72" s="17" t="e">
        <f>IF(OR(AS71=0,AS71&gt;=#REF!),0,FV($O$1,AP72,-#REF!,0,1))</f>
        <v>#REF!</v>
      </c>
      <c r="AU72" s="5">
        <f t="shared" si="16"/>
        <v>72107.111139248766</v>
      </c>
      <c r="AW72" s="26">
        <f t="shared" si="1"/>
        <v>0</v>
      </c>
      <c r="AX72" s="26">
        <f t="shared" si="2"/>
        <v>0</v>
      </c>
      <c r="AY72" s="11" cm="1">
        <f t="array" ref="AY72">IF(AX72=0,IF(AW72&gt;0,INDEX($AU$13:$AU$611,AW72*12),0),INDEX($AU$13:$AU$611,AW72*12+AX72))</f>
        <v>0</v>
      </c>
      <c r="AZ72" s="11">
        <f t="shared" si="14"/>
        <v>0</v>
      </c>
      <c r="BA72" s="11">
        <f t="shared" si="17"/>
        <v>0</v>
      </c>
      <c r="BB72" s="37">
        <f t="shared" si="0"/>
        <v>0</v>
      </c>
    </row>
    <row r="73" spans="12:54" hidden="1" x14ac:dyDescent="0.25">
      <c r="L73" s="2" t="str">
        <f t="shared" si="15"/>
        <v/>
      </c>
      <c r="M73" s="45">
        <f t="shared" si="13"/>
        <v>4</v>
      </c>
      <c r="N73" s="36">
        <v>53</v>
      </c>
      <c r="O73" s="91">
        <f t="shared" si="7"/>
        <v>18972.483696166146</v>
      </c>
      <c r="P73" s="38">
        <f t="shared" si="8"/>
        <v>63550.128069976963</v>
      </c>
      <c r="W73" s="26">
        <f t="shared" si="9"/>
        <v>22782.158346845899</v>
      </c>
      <c r="X73" s="5">
        <f t="shared" si="10"/>
        <v>76310.993533499088</v>
      </c>
      <c r="Y73" s="5"/>
      <c r="AA73" s="63">
        <f t="shared" si="11"/>
        <v>18972.483696166146</v>
      </c>
      <c r="AB73" s="5">
        <f t="shared" si="12"/>
        <v>63550.128069976963</v>
      </c>
      <c r="AP73" s="3">
        <v>60</v>
      </c>
      <c r="AR73" s="14">
        <f t="shared" si="3"/>
        <v>0</v>
      </c>
      <c r="AS73" s="17" t="e">
        <f>IF(OR(AS72=0,AS72&gt;=#REF!),0,FV($O$1,AP73,-#REF!,0,1))</f>
        <v>#REF!</v>
      </c>
      <c r="AU73" s="5">
        <f t="shared" si="16"/>
        <v>71429.332989060174</v>
      </c>
      <c r="AW73" s="26">
        <f t="shared" si="1"/>
        <v>0</v>
      </c>
      <c r="AX73" s="26">
        <f t="shared" si="2"/>
        <v>0</v>
      </c>
      <c r="AY73" s="11" cm="1">
        <f t="array" ref="AY73">IF(AX73=0,IF(AW73&gt;0,INDEX($AU$13:$AU$611,AW73*12),0),INDEX($AU$13:$AU$611,AW73*12+AX73))</f>
        <v>0</v>
      </c>
      <c r="AZ73" s="11">
        <f t="shared" si="14"/>
        <v>0</v>
      </c>
      <c r="BA73" s="11">
        <f t="shared" si="17"/>
        <v>0</v>
      </c>
      <c r="BB73" s="37">
        <f t="shared" si="0"/>
        <v>0</v>
      </c>
    </row>
    <row r="74" spans="12:54" hidden="1" x14ac:dyDescent="0.25">
      <c r="L74" s="2" t="str">
        <f t="shared" si="15"/>
        <v/>
      </c>
      <c r="M74" s="45">
        <f t="shared" si="13"/>
        <v>4</v>
      </c>
      <c r="N74" s="36">
        <v>54</v>
      </c>
      <c r="O74" s="91">
        <f t="shared" si="7"/>
        <v>18972.483696166146</v>
      </c>
      <c r="P74" s="38">
        <f t="shared" si="8"/>
        <v>62952.782155448003</v>
      </c>
      <c r="W74" s="26">
        <f t="shared" si="9"/>
        <v>22782.158346845899</v>
      </c>
      <c r="X74" s="5">
        <f t="shared" si="10"/>
        <v>75593.700561710139</v>
      </c>
      <c r="Y74" s="5"/>
      <c r="AA74" s="63">
        <f t="shared" si="11"/>
        <v>18972.483696166146</v>
      </c>
      <c r="AB74" s="5">
        <f t="shared" si="12"/>
        <v>62952.782155448003</v>
      </c>
      <c r="AP74" s="3">
        <v>61</v>
      </c>
      <c r="AR74" s="14">
        <f t="shared" si="3"/>
        <v>0</v>
      </c>
      <c r="AS74" s="17" t="e">
        <f>IF(OR(AS73=0,AS73&gt;=#REF!),0,FV($O$1,AP74,-#REF!,0,1))</f>
        <v>#REF!</v>
      </c>
      <c r="AU74" s="5">
        <f t="shared" si="16"/>
        <v>70757.925683766312</v>
      </c>
    </row>
    <row r="75" spans="12:54" hidden="1" x14ac:dyDescent="0.25">
      <c r="L75" s="2" t="str">
        <f t="shared" si="15"/>
        <v/>
      </c>
      <c r="M75" s="45">
        <f t="shared" si="13"/>
        <v>4</v>
      </c>
      <c r="N75" s="36">
        <v>55</v>
      </c>
      <c r="O75" s="91">
        <f t="shared" si="7"/>
        <v>18972.483696166146</v>
      </c>
      <c r="P75" s="38">
        <f t="shared" si="8"/>
        <v>62361.051054805983</v>
      </c>
      <c r="W75" s="26">
        <f t="shared" si="9"/>
        <v>22782.158346845899</v>
      </c>
      <c r="X75" s="5">
        <f t="shared" si="10"/>
        <v>74883.149858414297</v>
      </c>
      <c r="Y75" s="5"/>
      <c r="AA75" s="63">
        <f t="shared" si="11"/>
        <v>18972.483696166146</v>
      </c>
      <c r="AB75" s="5">
        <f t="shared" si="12"/>
        <v>62361.051054805983</v>
      </c>
      <c r="AP75" s="3">
        <v>62</v>
      </c>
      <c r="AR75" s="14">
        <f t="shared" si="3"/>
        <v>0</v>
      </c>
      <c r="AS75" s="17" t="e">
        <f>IF(OR(AS74=0,AS74&gt;=#REF!),0,FV($O$1,AP75,-#REF!,0,1))</f>
        <v>#REF!</v>
      </c>
      <c r="AU75" s="5">
        <f t="shared" si="16"/>
        <v>70092.829339960372</v>
      </c>
    </row>
    <row r="76" spans="12:54" hidden="1" x14ac:dyDescent="0.25">
      <c r="L76" s="2" t="str">
        <f t="shared" si="15"/>
        <v/>
      </c>
      <c r="M76" s="45">
        <f t="shared" si="13"/>
        <v>4</v>
      </c>
      <c r="N76" s="36">
        <v>56</v>
      </c>
      <c r="O76" s="91">
        <f t="shared" si="7"/>
        <v>18972.483696166146</v>
      </c>
      <c r="P76" s="38">
        <f t="shared" si="8"/>
        <v>61774.881991034745</v>
      </c>
      <c r="W76" s="26">
        <f t="shared" si="9"/>
        <v>22782.158346845899</v>
      </c>
      <c r="X76" s="5">
        <f t="shared" si="10"/>
        <v>74179.278048970737</v>
      </c>
      <c r="Y76" s="5"/>
      <c r="AA76" s="63">
        <f t="shared" si="11"/>
        <v>18972.483696166146</v>
      </c>
      <c r="AB76" s="5">
        <f t="shared" si="12"/>
        <v>61774.881991034745</v>
      </c>
      <c r="AP76" s="3">
        <v>63</v>
      </c>
      <c r="AR76" s="14">
        <f t="shared" si="3"/>
        <v>0</v>
      </c>
      <c r="AS76" s="17" t="e">
        <f>IF(OR(AS75=0,AS75&gt;=#REF!),0,FV($O$1,AP76,-#REF!,0,1))</f>
        <v>#REF!</v>
      </c>
      <c r="AU76" s="5">
        <f t="shared" si="16"/>
        <v>69433.984637115747</v>
      </c>
    </row>
    <row r="77" spans="12:54" hidden="1" x14ac:dyDescent="0.25">
      <c r="L77" s="2" t="str">
        <f t="shared" si="15"/>
        <v/>
      </c>
      <c r="M77" s="45">
        <f t="shared" si="13"/>
        <v>4</v>
      </c>
      <c r="N77" s="36">
        <v>57</v>
      </c>
      <c r="O77" s="91">
        <f t="shared" si="7"/>
        <v>18972.483696166146</v>
      </c>
      <c r="P77" s="38">
        <f t="shared" si="8"/>
        <v>61194.222683201093</v>
      </c>
      <c r="W77" s="26">
        <f t="shared" si="9"/>
        <v>22782.158346845899</v>
      </c>
      <c r="X77" s="5">
        <f t="shared" si="10"/>
        <v>73482.022354435103</v>
      </c>
      <c r="Y77" s="5"/>
      <c r="AA77" s="63">
        <f t="shared" si="11"/>
        <v>18972.483696166146</v>
      </c>
      <c r="AB77" s="5">
        <f t="shared" si="12"/>
        <v>61194.222683201093</v>
      </c>
      <c r="AP77" s="3">
        <v>64</v>
      </c>
      <c r="AR77" s="14">
        <f t="shared" si="3"/>
        <v>0</v>
      </c>
      <c r="AS77" s="17" t="e">
        <f>IF(OR(AS76=0,AS76&gt;=#REF!),0,FV($O$1,AP77,-#REF!,0,1))</f>
        <v>#REF!</v>
      </c>
      <c r="AU77" s="5">
        <f t="shared" si="16"/>
        <v>68781.332812295237</v>
      </c>
    </row>
    <row r="78" spans="12:54" hidden="1" x14ac:dyDescent="0.25">
      <c r="L78" s="2" t="str">
        <f t="shared" si="15"/>
        <v/>
      </c>
      <c r="M78" s="45">
        <f t="shared" si="13"/>
        <v>4</v>
      </c>
      <c r="N78" s="36">
        <v>58</v>
      </c>
      <c r="O78" s="91">
        <f t="shared" si="7"/>
        <v>18972.483696166146</v>
      </c>
      <c r="P78" s="38">
        <f t="shared" si="8"/>
        <v>60619.021341791755</v>
      </c>
      <c r="W78" s="26">
        <f t="shared" si="9"/>
        <v>22782.158346845899</v>
      </c>
      <c r="X78" s="5">
        <f t="shared" si="10"/>
        <v>72791.320585960071</v>
      </c>
      <c r="Y78" s="5"/>
      <c r="AA78" s="63">
        <f t="shared" si="11"/>
        <v>18972.483696166146</v>
      </c>
      <c r="AB78" s="5">
        <f t="shared" si="12"/>
        <v>60619.021341791755</v>
      </c>
      <c r="AP78" s="3">
        <v>65</v>
      </c>
      <c r="AR78" s="14">
        <f t="shared" si="3"/>
        <v>0</v>
      </c>
      <c r="AS78" s="17" t="e">
        <f>IF(OR(AS77=0,AS77&gt;=#REF!),0,FV($O$1,AP78,-#REF!,0,1))</f>
        <v>#REF!</v>
      </c>
      <c r="AU78" s="5">
        <f t="shared" si="16"/>
        <v>68134.815654909806</v>
      </c>
    </row>
    <row r="79" spans="12:54" hidden="1" x14ac:dyDescent="0.25">
      <c r="L79" s="2" t="str">
        <f t="shared" si="15"/>
        <v/>
      </c>
      <c r="M79" s="45">
        <f t="shared" si="13"/>
        <v>4</v>
      </c>
      <c r="N79" s="36">
        <v>59</v>
      </c>
      <c r="O79" s="91">
        <f t="shared" si="7"/>
        <v>18972.483696166146</v>
      </c>
      <c r="P79" s="38">
        <f t="shared" si="8"/>
        <v>60049.226664094305</v>
      </c>
      <c r="W79" s="26">
        <f t="shared" si="9"/>
        <v>22782.158346845899</v>
      </c>
      <c r="X79" s="5">
        <f t="shared" si="10"/>
        <v>72107.111139248766</v>
      </c>
      <c r="Y79" s="5"/>
      <c r="AA79" s="63">
        <f t="shared" si="11"/>
        <v>18972.483696166146</v>
      </c>
      <c r="AB79" s="5">
        <f t="shared" si="12"/>
        <v>60049.226664094305</v>
      </c>
      <c r="AP79" s="3">
        <v>66</v>
      </c>
      <c r="AR79" s="14">
        <f t="shared" si="3"/>
        <v>0</v>
      </c>
      <c r="AS79" s="17" t="e">
        <f>IF(OR(AS78=0,AS78&gt;=#REF!),0,FV($O$1,AP79,-#REF!,0,1))</f>
        <v>#REF!</v>
      </c>
      <c r="AU79" s="5">
        <f t="shared" ref="AU79:AU142" si="18">X86</f>
        <v>67494.375501526825</v>
      </c>
    </row>
    <row r="80" spans="12:54" hidden="1" x14ac:dyDescent="0.25">
      <c r="L80" s="2" t="str">
        <f t="shared" si="15"/>
        <v/>
      </c>
      <c r="M80" s="45">
        <f t="shared" si="13"/>
        <v>4</v>
      </c>
      <c r="N80" s="36">
        <v>60</v>
      </c>
      <c r="O80" s="91">
        <f t="shared" si="7"/>
        <v>18972.483696166146</v>
      </c>
      <c r="P80" s="38">
        <f t="shared" si="8"/>
        <v>59484.787829621418</v>
      </c>
      <c r="W80" s="26">
        <f t="shared" si="9"/>
        <v>22782.158346845899</v>
      </c>
      <c r="X80" s="5">
        <f t="shared" si="10"/>
        <v>71429.332989060174</v>
      </c>
      <c r="Y80" s="5"/>
      <c r="AA80" s="63">
        <f t="shared" si="11"/>
        <v>18972.483696166146</v>
      </c>
      <c r="AB80" s="5">
        <f t="shared" si="12"/>
        <v>59484.787829621418</v>
      </c>
      <c r="AP80" s="3">
        <v>67</v>
      </c>
      <c r="AR80" s="14">
        <f t="shared" si="3"/>
        <v>0</v>
      </c>
      <c r="AS80" s="17" t="e">
        <f>IF(OR(AS79=0,AS79&gt;=#REF!),0,FV($O$1,AP80,-#REF!,0,1))</f>
        <v>#REF!</v>
      </c>
      <c r="AU80" s="5">
        <f t="shared" si="18"/>
        <v>66859.955230726962</v>
      </c>
    </row>
    <row r="81" spans="12:47" hidden="1" x14ac:dyDescent="0.25">
      <c r="L81" s="2" t="str">
        <f t="shared" si="15"/>
        <v/>
      </c>
      <c r="M81" s="45">
        <f t="shared" si="13"/>
        <v>5</v>
      </c>
      <c r="N81" s="36">
        <v>61</v>
      </c>
      <c r="O81" s="91">
        <f t="shared" si="7"/>
        <v>20869.732065782762</v>
      </c>
      <c r="P81" s="38">
        <f t="shared" si="8"/>
        <v>64818.219945135912</v>
      </c>
      <c r="W81" s="26">
        <f t="shared" si="9"/>
        <v>22782.158346845899</v>
      </c>
      <c r="X81" s="5">
        <f t="shared" si="10"/>
        <v>70757.925683766312</v>
      </c>
      <c r="Y81" s="5"/>
      <c r="AA81" s="63">
        <f t="shared" si="11"/>
        <v>20869.732065782762</v>
      </c>
      <c r="AB81" s="5">
        <f t="shared" si="12"/>
        <v>64818.219945135912</v>
      </c>
      <c r="AP81" s="3">
        <v>68</v>
      </c>
      <c r="AR81" s="14">
        <f t="shared" si="3"/>
        <v>0</v>
      </c>
      <c r="AS81" s="17" t="e">
        <f>IF(OR(AS80=0,AS80&gt;=#REF!),0,FV($O$1,AP81,-#REF!,0,1))</f>
        <v>#REF!</v>
      </c>
      <c r="AU81" s="5">
        <f t="shared" si="18"/>
        <v>66231.498258009509</v>
      </c>
    </row>
    <row r="82" spans="12:47" hidden="1" x14ac:dyDescent="0.25">
      <c r="L82" s="2" t="str">
        <f t="shared" si="15"/>
        <v/>
      </c>
      <c r="M82" s="45">
        <f t="shared" si="13"/>
        <v>5</v>
      </c>
      <c r="N82" s="36">
        <v>62</v>
      </c>
      <c r="O82" s="91">
        <f t="shared" si="7"/>
        <v>20869.732065782762</v>
      </c>
      <c r="P82" s="38">
        <f t="shared" si="8"/>
        <v>64208.954471608762</v>
      </c>
      <c r="W82" s="26">
        <f t="shared" si="9"/>
        <v>22782.158346845899</v>
      </c>
      <c r="X82" s="5">
        <f t="shared" si="10"/>
        <v>70092.829339960372</v>
      </c>
      <c r="Y82" s="5"/>
      <c r="AA82" s="63">
        <f t="shared" si="11"/>
        <v>20869.732065782762</v>
      </c>
      <c r="AB82" s="5">
        <f t="shared" si="12"/>
        <v>64208.954471608762</v>
      </c>
      <c r="AP82" s="3">
        <v>69</v>
      </c>
      <c r="AR82" s="14">
        <f t="shared" ref="AR82:AR145" si="19">IF(AP82&lt;=$X$3,FV($O$1,AP82,-$X$5,0,1),0)</f>
        <v>0</v>
      </c>
      <c r="AS82" s="17" t="e">
        <f>IF(OR(AS81=0,AS81&gt;=#REF!),0,FV($O$1,AP82,-#REF!,0,1))</f>
        <v>#REF!</v>
      </c>
      <c r="AU82" s="5">
        <f t="shared" si="18"/>
        <v>65608.948530745547</v>
      </c>
    </row>
    <row r="83" spans="12:47" hidden="1" x14ac:dyDescent="0.25">
      <c r="L83" s="2" t="str">
        <f t="shared" si="15"/>
        <v/>
      </c>
      <c r="M83" s="45">
        <f t="shared" si="13"/>
        <v>5</v>
      </c>
      <c r="N83" s="36">
        <v>63</v>
      </c>
      <c r="O83" s="91">
        <f t="shared" si="7"/>
        <v>20869.732065782762</v>
      </c>
      <c r="P83" s="38">
        <f t="shared" si="8"/>
        <v>63605.415851079808</v>
      </c>
      <c r="W83" s="26">
        <f t="shared" si="9"/>
        <v>22782.158346845899</v>
      </c>
      <c r="X83" s="5">
        <f t="shared" si="10"/>
        <v>69433.984637115747</v>
      </c>
      <c r="Y83" s="5"/>
      <c r="AA83" s="63">
        <f t="shared" si="11"/>
        <v>20869.732065782762</v>
      </c>
      <c r="AB83" s="5">
        <f t="shared" si="12"/>
        <v>63605.415851079808</v>
      </c>
      <c r="AP83" s="3">
        <v>70</v>
      </c>
      <c r="AR83" s="14">
        <f t="shared" si="19"/>
        <v>0</v>
      </c>
      <c r="AS83" s="17" t="e">
        <f>IF(OR(AS82=0,AS82&gt;=#REF!),0,FV($O$1,AP83,-#REF!,0,1))</f>
        <v>#REF!</v>
      </c>
      <c r="AU83" s="5">
        <f t="shared" si="18"/>
        <v>64992.250523178562</v>
      </c>
    </row>
    <row r="84" spans="12:47" hidden="1" x14ac:dyDescent="0.25">
      <c r="L84" s="2" t="str">
        <f t="shared" si="15"/>
        <v/>
      </c>
      <c r="M84" s="45">
        <f t="shared" si="13"/>
        <v>5</v>
      </c>
      <c r="N84" s="36">
        <v>64</v>
      </c>
      <c r="O84" s="91">
        <f t="shared" si="7"/>
        <v>20869.732065782762</v>
      </c>
      <c r="P84" s="38">
        <f t="shared" si="8"/>
        <v>63007.550253409863</v>
      </c>
      <c r="W84" s="26">
        <f t="shared" si="9"/>
        <v>22782.158346845899</v>
      </c>
      <c r="X84" s="5">
        <f t="shared" si="10"/>
        <v>68781.332812295237</v>
      </c>
      <c r="Y84" s="5"/>
      <c r="AA84" s="63">
        <f t="shared" si="11"/>
        <v>20869.732065782762</v>
      </c>
      <c r="AB84" s="5">
        <f t="shared" si="12"/>
        <v>63007.550253409863</v>
      </c>
      <c r="AP84" s="3">
        <v>71</v>
      </c>
      <c r="AR84" s="14">
        <f t="shared" si="19"/>
        <v>0</v>
      </c>
      <c r="AS84" s="17" t="e">
        <f>IF(OR(AS83=0,AS83&gt;=#REF!),0,FV($O$1,AP84,-#REF!,0,1))</f>
        <v>#REF!</v>
      </c>
      <c r="AU84" s="5">
        <f t="shared" si="18"/>
        <v>64381.349231472042</v>
      </c>
    </row>
    <row r="85" spans="12:47" hidden="1" x14ac:dyDescent="0.25">
      <c r="L85" s="2" t="str">
        <f t="shared" si="15"/>
        <v/>
      </c>
      <c r="M85" s="45">
        <f t="shared" si="13"/>
        <v>5</v>
      </c>
      <c r="N85" s="36">
        <v>65</v>
      </c>
      <c r="O85" s="91">
        <f t="shared" ref="O85:O148" si="20">IF(N85&lt;=InvMonths,SU_Amt*(1+GRate)^M85,0)</f>
        <v>20869.732065782762</v>
      </c>
      <c r="P85" s="38">
        <f t="shared" ref="P85:P148" si="21">FV(SIPRate,InvMonths-N85+1,0,-O85,1)</f>
        <v>62415.304354441578</v>
      </c>
      <c r="W85" s="26">
        <f t="shared" ref="W85:W148" si="22">IF(N85&lt;=InvMonths,$X$18,0)</f>
        <v>22782.158346845899</v>
      </c>
      <c r="X85" s="5">
        <f t="shared" ref="X85:X148" si="23">FV(SIPRate,(InvMonths-N85+1),0,-W85,1)</f>
        <v>68134.815654909806</v>
      </c>
      <c r="Y85" s="5"/>
      <c r="AA85" s="63">
        <f t="shared" ref="AA85:AA148" si="24">IF(N85&lt;=InvMonths,$AB$18*(1+$C$32)^M85,0)</f>
        <v>20869.732065782762</v>
      </c>
      <c r="AB85" s="5">
        <f t="shared" ref="AB85:AB148" si="25">FV(SIPRate,(InvMonths-N85+1),0,-AA85,1)</f>
        <v>62415.304354441578</v>
      </c>
      <c r="AP85" s="3">
        <v>72</v>
      </c>
      <c r="AR85" s="14">
        <f t="shared" si="19"/>
        <v>0</v>
      </c>
      <c r="AS85" s="17" t="e">
        <f>IF(OR(AS84=0,AS84&gt;=#REF!),0,FV($O$1,AP85,-#REF!,0,1))</f>
        <v>#REF!</v>
      </c>
      <c r="AU85" s="5">
        <f t="shared" si="18"/>
        <v>63776.19016880366</v>
      </c>
    </row>
    <row r="86" spans="12:47" hidden="1" x14ac:dyDescent="0.25">
      <c r="L86" s="2" t="str">
        <f t="shared" si="15"/>
        <v/>
      </c>
      <c r="M86" s="45">
        <f t="shared" ref="M86:M149" si="26">IF(MOD(N86,12)=0,(N86/12)-1,QUOTIENT(N86,12))</f>
        <v>5</v>
      </c>
      <c r="N86" s="36">
        <v>66</v>
      </c>
      <c r="O86" s="91">
        <f t="shared" si="20"/>
        <v>20869.732065782762</v>
      </c>
      <c r="P86" s="38">
        <f t="shared" si="21"/>
        <v>61828.6253312435</v>
      </c>
      <c r="W86" s="26">
        <f t="shared" si="22"/>
        <v>22782.158346845899</v>
      </c>
      <c r="X86" s="5">
        <f t="shared" si="23"/>
        <v>67494.375501526825</v>
      </c>
      <c r="Y86" s="5"/>
      <c r="AA86" s="63">
        <f t="shared" si="24"/>
        <v>20869.732065782762</v>
      </c>
      <c r="AB86" s="5">
        <f t="shared" si="25"/>
        <v>61828.6253312435</v>
      </c>
      <c r="AP86" s="3">
        <v>73</v>
      </c>
      <c r="AR86" s="14">
        <f t="shared" si="19"/>
        <v>0</v>
      </c>
      <c r="AS86" s="17" t="e">
        <f>IF(OR(AS85=0,AS85&gt;=#REF!),0,FV($O$1,AP86,-#REF!,0,1))</f>
        <v>#REF!</v>
      </c>
      <c r="AU86" s="5">
        <f t="shared" si="18"/>
        <v>63176.719360505558</v>
      </c>
    </row>
    <row r="87" spans="12:47" hidden="1" x14ac:dyDescent="0.25">
      <c r="L87" s="2" t="str">
        <f t="shared" si="15"/>
        <v/>
      </c>
      <c r="M87" s="45">
        <f t="shared" si="26"/>
        <v>5</v>
      </c>
      <c r="N87" s="36">
        <v>67</v>
      </c>
      <c r="O87" s="91">
        <f t="shared" si="20"/>
        <v>20869.732065782762</v>
      </c>
      <c r="P87" s="38">
        <f t="shared" si="21"/>
        <v>61247.460857398662</v>
      </c>
      <c r="W87" s="26">
        <f t="shared" si="22"/>
        <v>22782.158346845899</v>
      </c>
      <c r="X87" s="5">
        <f t="shared" si="23"/>
        <v>66859.955230726962</v>
      </c>
      <c r="Y87" s="5"/>
      <c r="AA87" s="63">
        <f t="shared" si="24"/>
        <v>20869.732065782762</v>
      </c>
      <c r="AB87" s="5">
        <f t="shared" si="25"/>
        <v>61247.460857398662</v>
      </c>
      <c r="AP87" s="3">
        <v>74</v>
      </c>
      <c r="AR87" s="14">
        <f t="shared" si="19"/>
        <v>0</v>
      </c>
      <c r="AS87" s="17" t="e">
        <f>IF(OR(AS86=0,AS86&gt;=#REF!),0,FV($O$1,AP87,-#REF!,0,1))</f>
        <v>#REF!</v>
      </c>
      <c r="AU87" s="5">
        <f t="shared" si="18"/>
        <v>62582.883339250257</v>
      </c>
    </row>
    <row r="88" spans="12:47" hidden="1" x14ac:dyDescent="0.25">
      <c r="L88" s="2" t="str">
        <f t="shared" si="15"/>
        <v/>
      </c>
      <c r="M88" s="45">
        <f t="shared" si="26"/>
        <v>5</v>
      </c>
      <c r="N88" s="36">
        <v>68</v>
      </c>
      <c r="O88" s="91">
        <f t="shared" si="20"/>
        <v>20869.732065782762</v>
      </c>
      <c r="P88" s="38">
        <f t="shared" si="21"/>
        <v>60671.759098337629</v>
      </c>
      <c r="W88" s="26">
        <f t="shared" si="22"/>
        <v>22782.158346845899</v>
      </c>
      <c r="X88" s="5">
        <f t="shared" si="23"/>
        <v>66231.498258009509</v>
      </c>
      <c r="Y88" s="5"/>
      <c r="AA88" s="63">
        <f t="shared" si="24"/>
        <v>20869.732065782762</v>
      </c>
      <c r="AB88" s="5">
        <f t="shared" si="25"/>
        <v>60671.759098337629</v>
      </c>
      <c r="AP88" s="3">
        <v>75</v>
      </c>
      <c r="AR88" s="14">
        <f t="shared" si="19"/>
        <v>0</v>
      </c>
      <c r="AS88" s="17" t="e">
        <f>IF(OR(AS87=0,AS87&gt;=#REF!),0,FV($O$1,AP88,-#REF!,0,1))</f>
        <v>#REF!</v>
      </c>
      <c r="AU88" s="5">
        <f t="shared" si="18"/>
        <v>61994.629140281846</v>
      </c>
    </row>
    <row r="89" spans="12:47" hidden="1" x14ac:dyDescent="0.25">
      <c r="L89" s="2" t="str">
        <f t="shared" si="15"/>
        <v/>
      </c>
      <c r="M89" s="45">
        <f t="shared" si="26"/>
        <v>5</v>
      </c>
      <c r="N89" s="36">
        <v>69</v>
      </c>
      <c r="O89" s="91">
        <f t="shared" si="20"/>
        <v>20869.732065782762</v>
      </c>
      <c r="P89" s="38">
        <f t="shared" si="21"/>
        <v>60101.468706715284</v>
      </c>
      <c r="W89" s="26">
        <f t="shared" si="22"/>
        <v>22782.158346845899</v>
      </c>
      <c r="X89" s="5">
        <f t="shared" si="23"/>
        <v>65608.948530745547</v>
      </c>
      <c r="Y89" s="5"/>
      <c r="AA89" s="63">
        <f t="shared" si="24"/>
        <v>20869.732065782762</v>
      </c>
      <c r="AB89" s="5">
        <f t="shared" si="25"/>
        <v>60101.468706715284</v>
      </c>
      <c r="AP89" s="3">
        <v>76</v>
      </c>
      <c r="AR89" s="14">
        <f t="shared" si="19"/>
        <v>0</v>
      </c>
      <c r="AS89" s="17" t="e">
        <f>IF(OR(AS88=0,AS88&gt;=#REF!),0,FV($O$1,AP89,-#REF!,0,1))</f>
        <v>#REF!</v>
      </c>
      <c r="AU89" s="5">
        <f t="shared" si="18"/>
        <v>61411.90429669209</v>
      </c>
    </row>
    <row r="90" spans="12:47" hidden="1" x14ac:dyDescent="0.25">
      <c r="L90" s="2" t="str">
        <f t="shared" si="15"/>
        <v/>
      </c>
      <c r="M90" s="45">
        <f t="shared" si="26"/>
        <v>5</v>
      </c>
      <c r="N90" s="36">
        <v>70</v>
      </c>
      <c r="O90" s="91">
        <f t="shared" si="20"/>
        <v>20869.732065782762</v>
      </c>
      <c r="P90" s="38">
        <f t="shared" si="21"/>
        <v>59536.538817831119</v>
      </c>
      <c r="W90" s="26">
        <f t="shared" si="22"/>
        <v>22782.158346845899</v>
      </c>
      <c r="X90" s="5">
        <f t="shared" si="23"/>
        <v>64992.250523178562</v>
      </c>
      <c r="Y90" s="5"/>
      <c r="AA90" s="63">
        <f t="shared" si="24"/>
        <v>20869.732065782762</v>
      </c>
      <c r="AB90" s="5">
        <f t="shared" si="25"/>
        <v>59536.538817831119</v>
      </c>
      <c r="AP90" s="3">
        <v>77</v>
      </c>
      <c r="AR90" s="14">
        <f t="shared" si="19"/>
        <v>0</v>
      </c>
      <c r="AS90" s="17" t="e">
        <f>IF(OR(AS89=0,AS89&gt;=#REF!),0,FV($O$1,AP90,-#REF!,0,1))</f>
        <v>#REF!</v>
      </c>
      <c r="AU90" s="5">
        <f t="shared" si="18"/>
        <v>60834.656834740825</v>
      </c>
    </row>
    <row r="91" spans="12:47" hidden="1" x14ac:dyDescent="0.25">
      <c r="L91" s="2" t="str">
        <f t="shared" si="15"/>
        <v/>
      </c>
      <c r="M91" s="45">
        <f t="shared" si="26"/>
        <v>5</v>
      </c>
      <c r="N91" s="36">
        <v>71</v>
      </c>
      <c r="O91" s="91">
        <f t="shared" si="20"/>
        <v>20869.732065782762</v>
      </c>
      <c r="P91" s="38">
        <f t="shared" si="21"/>
        <v>58976.91904509256</v>
      </c>
      <c r="W91" s="26">
        <f t="shared" si="22"/>
        <v>22782.158346845899</v>
      </c>
      <c r="X91" s="5">
        <f t="shared" si="23"/>
        <v>64381.349231472042</v>
      </c>
      <c r="Y91" s="5"/>
      <c r="AA91" s="63">
        <f t="shared" si="24"/>
        <v>20869.732065782762</v>
      </c>
      <c r="AB91" s="5">
        <f t="shared" si="25"/>
        <v>58976.91904509256</v>
      </c>
      <c r="AP91" s="3">
        <v>78</v>
      </c>
      <c r="AR91" s="14">
        <f t="shared" si="19"/>
        <v>0</v>
      </c>
      <c r="AS91" s="17" t="e">
        <f>IF(OR(AS90=0,AS90&gt;=#REF!),0,FV($O$1,AP91,-#REF!,0,1))</f>
        <v>#REF!</v>
      </c>
      <c r="AU91" s="5">
        <f t="shared" si="18"/>
        <v>60262.835269220312</v>
      </c>
    </row>
    <row r="92" spans="12:47" hidden="1" x14ac:dyDescent="0.25">
      <c r="L92" s="2" t="str">
        <f t="shared" si="15"/>
        <v/>
      </c>
      <c r="M92" s="45">
        <f t="shared" si="26"/>
        <v>5</v>
      </c>
      <c r="N92" s="36">
        <v>72</v>
      </c>
      <c r="O92" s="91">
        <f t="shared" si="20"/>
        <v>20869.732065782762</v>
      </c>
      <c r="P92" s="38">
        <f t="shared" si="21"/>
        <v>58422.559475520968</v>
      </c>
      <c r="W92" s="26">
        <f t="shared" si="22"/>
        <v>22782.158346845899</v>
      </c>
      <c r="X92" s="5">
        <f t="shared" si="23"/>
        <v>63776.19016880366</v>
      </c>
      <c r="Y92" s="5"/>
      <c r="AA92" s="63">
        <f t="shared" si="24"/>
        <v>20869.732065782762</v>
      </c>
      <c r="AB92" s="5">
        <f t="shared" si="25"/>
        <v>58422.559475520968</v>
      </c>
      <c r="AP92" s="3">
        <v>79</v>
      </c>
      <c r="AR92" s="14">
        <f t="shared" si="19"/>
        <v>0</v>
      </c>
      <c r="AS92" s="17" t="e">
        <f>IF(OR(AS91=0,AS91&gt;=#REF!),0,FV($O$1,AP92,-#REF!,0,1))</f>
        <v>#REF!</v>
      </c>
      <c r="AU92" s="5">
        <f t="shared" si="18"/>
        <v>59696.38859886329</v>
      </c>
    </row>
    <row r="93" spans="12:47" hidden="1" x14ac:dyDescent="0.25">
      <c r="L93" s="2" t="str">
        <f t="shared" si="15"/>
        <v/>
      </c>
      <c r="M93" s="45">
        <f t="shared" si="26"/>
        <v>6</v>
      </c>
      <c r="N93" s="36">
        <v>73</v>
      </c>
      <c r="O93" s="91">
        <f t="shared" si="20"/>
        <v>22956.70527236104</v>
      </c>
      <c r="P93" s="38">
        <f t="shared" si="21"/>
        <v>63660.751731829841</v>
      </c>
      <c r="W93" s="26">
        <f t="shared" si="22"/>
        <v>22782.158346845899</v>
      </c>
      <c r="X93" s="5">
        <f t="shared" si="23"/>
        <v>63176.719360505558</v>
      </c>
      <c r="Y93" s="5"/>
      <c r="AA93" s="63">
        <f t="shared" si="24"/>
        <v>22956.70527236104</v>
      </c>
      <c r="AB93" s="5">
        <f t="shared" si="25"/>
        <v>63660.751731829841</v>
      </c>
      <c r="AP93" s="3">
        <v>80</v>
      </c>
      <c r="AR93" s="14">
        <f t="shared" si="19"/>
        <v>0</v>
      </c>
      <c r="AS93" s="17" t="e">
        <f>IF(OR(AS92=0,AS92&gt;=#REF!),0,FV($O$1,AP93,-#REF!,0,1))</f>
        <v>#REF!</v>
      </c>
      <c r="AU93" s="5">
        <f t="shared" si="18"/>
        <v>59135.266301794123</v>
      </c>
    </row>
    <row r="94" spans="12:47" hidden="1" x14ac:dyDescent="0.25">
      <c r="L94" s="2" t="str">
        <f t="shared" ref="L94:L157" si="27">IF(MOD(M94,12)=0,M94/12,"")</f>
        <v/>
      </c>
      <c r="M94" s="45">
        <f t="shared" si="26"/>
        <v>6</v>
      </c>
      <c r="N94" s="36">
        <v>74</v>
      </c>
      <c r="O94" s="91">
        <f t="shared" si="20"/>
        <v>22956.70527236104</v>
      </c>
      <c r="P94" s="38">
        <f t="shared" si="21"/>
        <v>63062.365998901383</v>
      </c>
      <c r="W94" s="26">
        <f t="shared" si="22"/>
        <v>22782.158346845899</v>
      </c>
      <c r="X94" s="5">
        <f t="shared" si="23"/>
        <v>62582.883339250257</v>
      </c>
      <c r="Y94" s="5"/>
      <c r="AA94" s="63">
        <f t="shared" si="24"/>
        <v>22956.70527236104</v>
      </c>
      <c r="AB94" s="5">
        <f t="shared" si="25"/>
        <v>63062.365998901383</v>
      </c>
      <c r="AP94" s="3">
        <v>81</v>
      </c>
      <c r="AR94" s="14">
        <f t="shared" si="19"/>
        <v>0</v>
      </c>
      <c r="AS94" s="17" t="e">
        <f>IF(OR(AS93=0,AS93&gt;=#REF!),0,FV($O$1,AP94,-#REF!,0,1))</f>
        <v>#REF!</v>
      </c>
      <c r="AU94" s="5">
        <f t="shared" si="18"/>
        <v>58579.418331022738</v>
      </c>
    </row>
    <row r="95" spans="12:47" hidden="1" x14ac:dyDescent="0.25">
      <c r="L95" s="2" t="str">
        <f t="shared" si="27"/>
        <v/>
      </c>
      <c r="M95" s="45">
        <f t="shared" si="26"/>
        <v>6</v>
      </c>
      <c r="N95" s="36">
        <v>75</v>
      </c>
      <c r="O95" s="91">
        <f t="shared" si="20"/>
        <v>22956.70527236104</v>
      </c>
      <c r="P95" s="38">
        <f t="shared" si="21"/>
        <v>62469.604853739023</v>
      </c>
      <c r="W95" s="26">
        <f t="shared" si="22"/>
        <v>22782.158346845899</v>
      </c>
      <c r="X95" s="5">
        <f t="shared" si="23"/>
        <v>61994.629140281846</v>
      </c>
      <c r="Y95" s="5"/>
      <c r="AA95" s="63">
        <f t="shared" si="24"/>
        <v>22956.70527236104</v>
      </c>
      <c r="AB95" s="5">
        <f t="shared" si="25"/>
        <v>62469.604853739023</v>
      </c>
      <c r="AP95" s="3">
        <v>82</v>
      </c>
      <c r="AR95" s="14">
        <f t="shared" si="19"/>
        <v>0</v>
      </c>
      <c r="AS95" s="17" t="e">
        <f>IF(OR(AS94=0,AS94&gt;=#REF!),0,FV($O$1,AP95,-#REF!,0,1))</f>
        <v>#REF!</v>
      </c>
      <c r="AU95" s="5">
        <f t="shared" si="18"/>
        <v>58028.795109980776</v>
      </c>
    </row>
    <row r="96" spans="12:47" hidden="1" x14ac:dyDescent="0.25">
      <c r="L96" s="2" t="str">
        <f t="shared" si="27"/>
        <v/>
      </c>
      <c r="M96" s="45">
        <f t="shared" si="26"/>
        <v>6</v>
      </c>
      <c r="N96" s="36">
        <v>76</v>
      </c>
      <c r="O96" s="91">
        <f t="shared" si="20"/>
        <v>22956.70527236104</v>
      </c>
      <c r="P96" s="38">
        <f t="shared" si="21"/>
        <v>61882.415427456028</v>
      </c>
      <c r="W96" s="26">
        <f t="shared" si="22"/>
        <v>22782.158346845899</v>
      </c>
      <c r="X96" s="5">
        <f t="shared" si="23"/>
        <v>61411.90429669209</v>
      </c>
      <c r="Y96" s="5"/>
      <c r="AA96" s="63">
        <f t="shared" si="24"/>
        <v>22956.70527236104</v>
      </c>
      <c r="AB96" s="5">
        <f t="shared" si="25"/>
        <v>61882.415427456028</v>
      </c>
      <c r="AP96" s="3">
        <v>83</v>
      </c>
      <c r="AR96" s="14">
        <f t="shared" si="19"/>
        <v>0</v>
      </c>
      <c r="AS96" s="17" t="e">
        <f>IF(OR(AS95=0,AS95&gt;=#REF!),0,FV($O$1,AP96,-#REF!,0,1))</f>
        <v>#REF!</v>
      </c>
      <c r="AU96" s="5">
        <f t="shared" si="18"/>
        <v>57483.347528099963</v>
      </c>
    </row>
    <row r="97" spans="12:47" hidden="1" x14ac:dyDescent="0.25">
      <c r="L97" s="2" t="str">
        <f t="shared" si="27"/>
        <v/>
      </c>
      <c r="M97" s="45">
        <f t="shared" si="26"/>
        <v>6</v>
      </c>
      <c r="N97" s="36">
        <v>77</v>
      </c>
      <c r="O97" s="91">
        <f t="shared" si="20"/>
        <v>22956.70527236104</v>
      </c>
      <c r="P97" s="38">
        <f t="shared" si="21"/>
        <v>61300.745348112199</v>
      </c>
      <c r="W97" s="26">
        <f t="shared" si="22"/>
        <v>22782.158346845899</v>
      </c>
      <c r="X97" s="5">
        <f t="shared" si="23"/>
        <v>60834.656834740825</v>
      </c>
      <c r="Y97" s="5"/>
      <c r="AA97" s="63">
        <f t="shared" si="24"/>
        <v>22956.70527236104</v>
      </c>
      <c r="AB97" s="5">
        <f t="shared" si="25"/>
        <v>61300.745348112199</v>
      </c>
      <c r="AP97" s="3">
        <v>84</v>
      </c>
      <c r="AR97" s="14">
        <f t="shared" si="19"/>
        <v>0</v>
      </c>
      <c r="AS97" s="17" t="e">
        <f>IF(OR(AS96=0,AS96&gt;=#REF!),0,FV($O$1,AP97,-#REF!,0,1))</f>
        <v>#REF!</v>
      </c>
      <c r="AU97" s="5">
        <f t="shared" si="18"/>
        <v>56943.026936431765</v>
      </c>
    </row>
    <row r="98" spans="12:47" hidden="1" x14ac:dyDescent="0.25">
      <c r="L98" s="2" t="str">
        <f t="shared" si="27"/>
        <v/>
      </c>
      <c r="M98" s="45">
        <f t="shared" si="26"/>
        <v>6</v>
      </c>
      <c r="N98" s="36">
        <v>78</v>
      </c>
      <c r="O98" s="91">
        <f t="shared" si="20"/>
        <v>22956.70527236104</v>
      </c>
      <c r="P98" s="38">
        <f t="shared" si="21"/>
        <v>60724.542736042655</v>
      </c>
      <c r="W98" s="26">
        <f t="shared" si="22"/>
        <v>22782.158346845899</v>
      </c>
      <c r="X98" s="5">
        <f t="shared" si="23"/>
        <v>60262.835269220312</v>
      </c>
      <c r="Y98" s="5"/>
      <c r="AA98" s="63">
        <f t="shared" si="24"/>
        <v>22956.70527236104</v>
      </c>
      <c r="AB98" s="5">
        <f t="shared" si="25"/>
        <v>60724.542736042655</v>
      </c>
      <c r="AP98" s="3">
        <v>85</v>
      </c>
      <c r="AR98" s="14">
        <f t="shared" si="19"/>
        <v>0</v>
      </c>
      <c r="AS98" s="17" t="e">
        <f>IF(OR(AS97=0,AS97&gt;=#REF!),0,FV($O$1,AP98,-#REF!,0,1))</f>
        <v>#REF!</v>
      </c>
      <c r="AU98" s="5">
        <f t="shared" si="18"/>
        <v>56407.785143308465</v>
      </c>
    </row>
    <row r="99" spans="12:47" hidden="1" x14ac:dyDescent="0.25">
      <c r="L99" s="2" t="str">
        <f t="shared" si="27"/>
        <v/>
      </c>
      <c r="M99" s="45">
        <f t="shared" si="26"/>
        <v>6</v>
      </c>
      <c r="N99" s="36">
        <v>79</v>
      </c>
      <c r="O99" s="91">
        <f t="shared" si="20"/>
        <v>22956.70527236104</v>
      </c>
      <c r="P99" s="38">
        <f t="shared" si="21"/>
        <v>60153.75619923076</v>
      </c>
      <c r="W99" s="26">
        <f t="shared" si="22"/>
        <v>22782.158346845899</v>
      </c>
      <c r="X99" s="5">
        <f t="shared" si="23"/>
        <v>59696.38859886329</v>
      </c>
      <c r="Y99" s="5"/>
      <c r="AA99" s="63">
        <f t="shared" si="24"/>
        <v>22956.70527236104</v>
      </c>
      <c r="AB99" s="5">
        <f t="shared" si="25"/>
        <v>60153.75619923076</v>
      </c>
      <c r="AP99" s="3">
        <v>86</v>
      </c>
      <c r="AR99" s="14">
        <f t="shared" si="19"/>
        <v>0</v>
      </c>
      <c r="AS99" s="17" t="e">
        <f>IF(OR(AS98=0,AS98&gt;=#REF!),0,FV($O$1,AP99,-#REF!,0,1))</f>
        <v>#REF!</v>
      </c>
      <c r="AU99" s="5">
        <f t="shared" si="18"/>
        <v>55877.574410044792</v>
      </c>
    </row>
    <row r="100" spans="12:47" hidden="1" x14ac:dyDescent="0.25">
      <c r="L100" s="2" t="str">
        <f t="shared" si="27"/>
        <v/>
      </c>
      <c r="M100" s="45">
        <f t="shared" si="26"/>
        <v>6</v>
      </c>
      <c r="N100" s="36">
        <v>80</v>
      </c>
      <c r="O100" s="91">
        <f t="shared" si="20"/>
        <v>22956.70527236104</v>
      </c>
      <c r="P100" s="38">
        <f t="shared" si="21"/>
        <v>59588.334828724379</v>
      </c>
      <c r="W100" s="26">
        <f t="shared" si="22"/>
        <v>22782.158346845899</v>
      </c>
      <c r="X100" s="5">
        <f t="shared" si="23"/>
        <v>59135.266301794123</v>
      </c>
      <c r="Y100" s="5"/>
      <c r="AA100" s="63">
        <f t="shared" si="24"/>
        <v>22956.70527236104</v>
      </c>
      <c r="AB100" s="5">
        <f t="shared" si="25"/>
        <v>59588.334828724379</v>
      </c>
      <c r="AP100" s="3">
        <v>87</v>
      </c>
      <c r="AR100" s="14">
        <f t="shared" si="19"/>
        <v>0</v>
      </c>
      <c r="AS100" s="17" t="e">
        <f>IF(OR(AS99=0,AS99&gt;=#REF!),0,FV($O$1,AP100,-#REF!,0,1))</f>
        <v>#REF!</v>
      </c>
      <c r="AU100" s="5">
        <f t="shared" si="18"/>
        <v>55352.347446680142</v>
      </c>
    </row>
    <row r="101" spans="12:47" hidden="1" x14ac:dyDescent="0.25">
      <c r="L101" s="2" t="str">
        <f t="shared" si="27"/>
        <v/>
      </c>
      <c r="M101" s="45">
        <f t="shared" si="26"/>
        <v>6</v>
      </c>
      <c r="N101" s="36">
        <v>81</v>
      </c>
      <c r="O101" s="91">
        <f t="shared" si="20"/>
        <v>22956.70527236104</v>
      </c>
      <c r="P101" s="38">
        <f t="shared" si="21"/>
        <v>59028.228194095296</v>
      </c>
      <c r="W101" s="26">
        <f t="shared" si="22"/>
        <v>22782.158346845899</v>
      </c>
      <c r="X101" s="5">
        <f t="shared" si="23"/>
        <v>58579.418331022738</v>
      </c>
      <c r="Y101" s="5"/>
      <c r="AA101" s="63">
        <f t="shared" si="24"/>
        <v>22956.70527236104</v>
      </c>
      <c r="AB101" s="5">
        <f t="shared" si="25"/>
        <v>59028.228194095296</v>
      </c>
      <c r="AP101" s="3">
        <v>88</v>
      </c>
      <c r="AR101" s="14">
        <f t="shared" si="19"/>
        <v>0</v>
      </c>
      <c r="AS101" s="17" t="e">
        <f>IF(OR(AS100=0,AS100&gt;=#REF!),0,FV($O$1,AP101,-#REF!,0,1))</f>
        <v>#REF!</v>
      </c>
      <c r="AU101" s="5">
        <f t="shared" si="18"/>
        <v>54832.057407760716</v>
      </c>
    </row>
    <row r="102" spans="12:47" hidden="1" x14ac:dyDescent="0.25">
      <c r="L102" s="2" t="str">
        <f t="shared" si="27"/>
        <v/>
      </c>
      <c r="M102" s="45">
        <f t="shared" si="26"/>
        <v>6</v>
      </c>
      <c r="N102" s="36">
        <v>82</v>
      </c>
      <c r="O102" s="91">
        <f t="shared" si="20"/>
        <v>22956.70527236104</v>
      </c>
      <c r="P102" s="38">
        <f t="shared" si="21"/>
        <v>58473.3863389412</v>
      </c>
      <c r="W102" s="26">
        <f t="shared" si="22"/>
        <v>22782.158346845899</v>
      </c>
      <c r="X102" s="5">
        <f t="shared" si="23"/>
        <v>58028.795109980776</v>
      </c>
      <c r="Y102" s="5"/>
      <c r="AA102" s="63">
        <f t="shared" si="24"/>
        <v>22956.70527236104</v>
      </c>
      <c r="AB102" s="5">
        <f t="shared" si="25"/>
        <v>58473.3863389412</v>
      </c>
      <c r="AP102" s="3">
        <v>89</v>
      </c>
      <c r="AR102" s="14">
        <f t="shared" si="19"/>
        <v>0</v>
      </c>
      <c r="AS102" s="17" t="e">
        <f>IF(OR(AS101=0,AS101&gt;=#REF!),0,FV($O$1,AP102,-#REF!,0,1))</f>
        <v>#REF!</v>
      </c>
      <c r="AU102" s="5">
        <f t="shared" si="18"/>
        <v>54316.657888161375</v>
      </c>
    </row>
    <row r="103" spans="12:47" hidden="1" x14ac:dyDescent="0.25">
      <c r="L103" s="2" t="str">
        <f t="shared" si="27"/>
        <v/>
      </c>
      <c r="M103" s="45">
        <f t="shared" si="26"/>
        <v>6</v>
      </c>
      <c r="N103" s="36">
        <v>83</v>
      </c>
      <c r="O103" s="91">
        <f t="shared" si="20"/>
        <v>22956.70527236104</v>
      </c>
      <c r="P103" s="38">
        <f t="shared" si="21"/>
        <v>57923.759776430124</v>
      </c>
      <c r="W103" s="26">
        <f t="shared" si="22"/>
        <v>22782.158346845899</v>
      </c>
      <c r="X103" s="5">
        <f t="shared" si="23"/>
        <v>57483.347528099963</v>
      </c>
      <c r="Y103" s="5"/>
      <c r="AA103" s="63">
        <f t="shared" si="24"/>
        <v>22956.70527236104</v>
      </c>
      <c r="AB103" s="5">
        <f t="shared" si="25"/>
        <v>57923.759776430124</v>
      </c>
      <c r="AP103" s="3">
        <v>90</v>
      </c>
      <c r="AR103" s="14">
        <f t="shared" si="19"/>
        <v>0</v>
      </c>
      <c r="AS103" s="17" t="e">
        <f>IF(OR(AS102=0,AS102&gt;=#REF!),0,FV($O$1,AP103,-#REF!,0,1))</f>
        <v>#REF!</v>
      </c>
      <c r="AU103" s="5">
        <f t="shared" si="18"/>
        <v>53806.102918946635</v>
      </c>
    </row>
    <row r="104" spans="12:47" hidden="1" x14ac:dyDescent="0.25">
      <c r="L104" s="2" t="str">
        <f t="shared" si="27"/>
        <v/>
      </c>
      <c r="M104" s="45">
        <f t="shared" si="26"/>
        <v>6</v>
      </c>
      <c r="N104" s="36">
        <v>84</v>
      </c>
      <c r="O104" s="91">
        <f t="shared" si="20"/>
        <v>22956.70527236104</v>
      </c>
      <c r="P104" s="38">
        <f t="shared" si="21"/>
        <v>57379.299484886593</v>
      </c>
      <c r="W104" s="26">
        <f t="shared" si="22"/>
        <v>22782.158346845899</v>
      </c>
      <c r="X104" s="5">
        <f t="shared" si="23"/>
        <v>56943.026936431765</v>
      </c>
      <c r="Y104" s="5"/>
      <c r="AA104" s="63">
        <f t="shared" si="24"/>
        <v>22956.70527236104</v>
      </c>
      <c r="AB104" s="5">
        <f t="shared" si="25"/>
        <v>57379.299484886593</v>
      </c>
      <c r="AP104" s="3">
        <v>91</v>
      </c>
      <c r="AR104" s="14">
        <f t="shared" si="19"/>
        <v>0</v>
      </c>
      <c r="AS104" s="17" t="e">
        <f>IF(OR(AS103=0,AS103&gt;=#REF!),0,FV($O$1,AP104,-#REF!,0,1))</f>
        <v>#REF!</v>
      </c>
      <c r="AU104" s="5">
        <f t="shared" si="18"/>
        <v>53300.346963270713</v>
      </c>
    </row>
    <row r="105" spans="12:47" hidden="1" x14ac:dyDescent="0.25">
      <c r="L105" s="2" t="str">
        <f t="shared" si="27"/>
        <v/>
      </c>
      <c r="M105" s="45">
        <f t="shared" si="26"/>
        <v>7</v>
      </c>
      <c r="N105" s="36">
        <v>85</v>
      </c>
      <c r="O105" s="91">
        <f t="shared" si="20"/>
        <v>25252.375799597146</v>
      </c>
      <c r="P105" s="38">
        <f t="shared" si="21"/>
        <v>62523.95259376138</v>
      </c>
      <c r="W105" s="26">
        <f t="shared" si="22"/>
        <v>22782.158346845899</v>
      </c>
      <c r="X105" s="5">
        <f t="shared" si="23"/>
        <v>56407.785143308465</v>
      </c>
      <c r="Y105" s="5"/>
      <c r="AA105" s="63">
        <f t="shared" si="24"/>
        <v>25252.375799597146</v>
      </c>
      <c r="AB105" s="5">
        <f t="shared" si="25"/>
        <v>62523.95259376138</v>
      </c>
      <c r="AP105" s="3">
        <v>92</v>
      </c>
      <c r="AR105" s="14">
        <f t="shared" si="19"/>
        <v>0</v>
      </c>
      <c r="AS105" s="17" t="e">
        <f>IF(OR(AS104=0,AS104&gt;=#REF!),0,FV($O$1,AP105,-#REF!,0,1))</f>
        <v>#REF!</v>
      </c>
      <c r="AU105" s="5">
        <f t="shared" si="18"/>
        <v>52799.344912316112</v>
      </c>
    </row>
    <row r="106" spans="12:47" hidden="1" x14ac:dyDescent="0.25">
      <c r="L106" s="2" t="str">
        <f t="shared" si="27"/>
        <v/>
      </c>
      <c r="M106" s="45">
        <f t="shared" si="26"/>
        <v>7</v>
      </c>
      <c r="N106" s="36">
        <v>86</v>
      </c>
      <c r="O106" s="91">
        <f t="shared" si="20"/>
        <v>25252.375799597146</v>
      </c>
      <c r="P106" s="38">
        <f t="shared" si="21"/>
        <v>61936.252320349493</v>
      </c>
      <c r="W106" s="26">
        <f t="shared" si="22"/>
        <v>22782.158346845899</v>
      </c>
      <c r="X106" s="5">
        <f t="shared" si="23"/>
        <v>55877.574410044792</v>
      </c>
      <c r="Y106" s="5"/>
      <c r="AA106" s="63">
        <f t="shared" si="24"/>
        <v>25252.375799597146</v>
      </c>
      <c r="AB106" s="5">
        <f t="shared" si="25"/>
        <v>61936.252320349493</v>
      </c>
      <c r="AP106" s="3">
        <v>93</v>
      </c>
      <c r="AR106" s="14">
        <f t="shared" si="19"/>
        <v>0</v>
      </c>
      <c r="AS106" s="17" t="e">
        <f>IF(OR(AS105=0,AS105&gt;=#REF!),0,FV($O$1,AP106,-#REF!,0,1))</f>
        <v>#REF!</v>
      </c>
      <c r="AU106" s="5">
        <f t="shared" si="18"/>
        <v>52303.052081270223</v>
      </c>
    </row>
    <row r="107" spans="12:47" hidden="1" x14ac:dyDescent="0.25">
      <c r="L107" s="2" t="str">
        <f t="shared" si="27"/>
        <v/>
      </c>
      <c r="M107" s="45">
        <f t="shared" si="26"/>
        <v>7</v>
      </c>
      <c r="N107" s="36">
        <v>87</v>
      </c>
      <c r="O107" s="91">
        <f t="shared" si="20"/>
        <v>25252.375799597146</v>
      </c>
      <c r="P107" s="38">
        <f t="shared" si="21"/>
        <v>61354.076195636466</v>
      </c>
      <c r="W107" s="26">
        <f t="shared" si="22"/>
        <v>22782.158346845899</v>
      </c>
      <c r="X107" s="5">
        <f t="shared" si="23"/>
        <v>55352.347446680142</v>
      </c>
      <c r="Y107" s="5"/>
      <c r="AA107" s="63">
        <f t="shared" si="24"/>
        <v>25252.375799597146</v>
      </c>
      <c r="AB107" s="5">
        <f t="shared" si="25"/>
        <v>61354.076195636466</v>
      </c>
      <c r="AP107" s="3">
        <v>94</v>
      </c>
      <c r="AR107" s="14">
        <f t="shared" si="19"/>
        <v>0</v>
      </c>
      <c r="AS107" s="17" t="e">
        <f>IF(OR(AS106=0,AS106&gt;=#REF!),0,FV($O$1,AP107,-#REF!,0,1))</f>
        <v>#REF!</v>
      </c>
      <c r="AU107" s="5">
        <f t="shared" si="18"/>
        <v>51811.424205339914</v>
      </c>
    </row>
    <row r="108" spans="12:47" hidden="1" x14ac:dyDescent="0.25">
      <c r="L108" s="2" t="str">
        <f t="shared" si="27"/>
        <v/>
      </c>
      <c r="M108" s="45">
        <f t="shared" si="26"/>
        <v>7</v>
      </c>
      <c r="N108" s="36">
        <v>88</v>
      </c>
      <c r="O108" s="91">
        <f t="shared" si="20"/>
        <v>25252.375799597146</v>
      </c>
      <c r="P108" s="38">
        <f t="shared" si="21"/>
        <v>60777.37229482281</v>
      </c>
      <c r="W108" s="26">
        <f t="shared" si="22"/>
        <v>22782.158346845899</v>
      </c>
      <c r="X108" s="5">
        <f t="shared" si="23"/>
        <v>54832.057407760716</v>
      </c>
      <c r="Y108" s="5"/>
      <c r="AA108" s="63">
        <f t="shared" si="24"/>
        <v>25252.375799597146</v>
      </c>
      <c r="AB108" s="5">
        <f t="shared" si="25"/>
        <v>60777.37229482281</v>
      </c>
      <c r="AP108" s="3">
        <v>95</v>
      </c>
      <c r="AR108" s="14">
        <f t="shared" si="19"/>
        <v>0</v>
      </c>
      <c r="AS108" s="17" t="e">
        <f>IF(OR(AS107=0,AS107&gt;=#REF!),0,FV($O$1,AP108,-#REF!,0,1))</f>
        <v>#REF!</v>
      </c>
      <c r="AU108" s="5">
        <f t="shared" si="18"/>
        <v>51324.417435803472</v>
      </c>
    </row>
    <row r="109" spans="12:47" hidden="1" x14ac:dyDescent="0.25">
      <c r="L109" s="2" t="str">
        <f t="shared" si="27"/>
        <v/>
      </c>
      <c r="M109" s="45">
        <f t="shared" si="26"/>
        <v>7</v>
      </c>
      <c r="N109" s="36">
        <v>89</v>
      </c>
      <c r="O109" s="91">
        <f t="shared" si="20"/>
        <v>25252.375799597146</v>
      </c>
      <c r="P109" s="38">
        <f t="shared" si="21"/>
        <v>60206.089181181545</v>
      </c>
      <c r="W109" s="26">
        <f t="shared" si="22"/>
        <v>22782.158346845899</v>
      </c>
      <c r="X109" s="5">
        <f t="shared" si="23"/>
        <v>54316.657888161375</v>
      </c>
      <c r="Y109" s="5"/>
      <c r="AA109" s="63">
        <f t="shared" si="24"/>
        <v>25252.375799597146</v>
      </c>
      <c r="AB109" s="5">
        <f t="shared" si="25"/>
        <v>60206.089181181545</v>
      </c>
      <c r="AP109" s="3">
        <v>96</v>
      </c>
      <c r="AR109" s="14">
        <f t="shared" si="19"/>
        <v>0</v>
      </c>
      <c r="AS109" s="17" t="e">
        <f>IF(OR(AS108=0,AS108&gt;=#REF!),0,FV($O$1,AP109,-#REF!,0,1))</f>
        <v>#REF!</v>
      </c>
      <c r="AU109" s="5">
        <f t="shared" si="18"/>
        <v>50841.988336099734</v>
      </c>
    </row>
    <row r="110" spans="12:47" hidden="1" x14ac:dyDescent="0.25">
      <c r="L110" s="2" t="str">
        <f t="shared" si="27"/>
        <v/>
      </c>
      <c r="M110" s="45">
        <f t="shared" si="26"/>
        <v>7</v>
      </c>
      <c r="N110" s="36">
        <v>90</v>
      </c>
      <c r="O110" s="91">
        <f t="shared" si="20"/>
        <v>25252.375799597146</v>
      </c>
      <c r="P110" s="38">
        <f t="shared" si="21"/>
        <v>59640.175901470393</v>
      </c>
      <c r="W110" s="26">
        <f t="shared" si="22"/>
        <v>22782.158346845899</v>
      </c>
      <c r="X110" s="5">
        <f t="shared" si="23"/>
        <v>53806.102918946635</v>
      </c>
      <c r="Y110" s="5"/>
      <c r="AA110" s="63">
        <f t="shared" si="24"/>
        <v>25252.375799597146</v>
      </c>
      <c r="AB110" s="5">
        <f t="shared" si="25"/>
        <v>59640.175901470393</v>
      </c>
      <c r="AP110" s="3">
        <v>97</v>
      </c>
      <c r="AR110" s="14">
        <f t="shared" si="19"/>
        <v>0</v>
      </c>
      <c r="AS110" s="17" t="e">
        <f>IF(OR(AS109=0,AS109&gt;=#REF!),0,FV($O$1,AP110,-#REF!,0,1))</f>
        <v>#REF!</v>
      </c>
      <c r="AU110" s="5">
        <f t="shared" si="18"/>
        <v>50364.093877953921</v>
      </c>
    </row>
    <row r="111" spans="12:47" hidden="1" x14ac:dyDescent="0.25">
      <c r="L111" s="2" t="str">
        <f t="shared" si="27"/>
        <v/>
      </c>
      <c r="M111" s="45">
        <f t="shared" si="26"/>
        <v>7</v>
      </c>
      <c r="N111" s="36">
        <v>91</v>
      </c>
      <c r="O111" s="91">
        <f t="shared" si="20"/>
        <v>25252.375799597146</v>
      </c>
      <c r="P111" s="38">
        <f t="shared" si="21"/>
        <v>59079.581981387273</v>
      </c>
      <c r="W111" s="26">
        <f t="shared" si="22"/>
        <v>22782.158346845899</v>
      </c>
      <c r="X111" s="5">
        <f t="shared" si="23"/>
        <v>53300.346963270713</v>
      </c>
      <c r="Y111" s="5"/>
      <c r="AA111" s="63">
        <f t="shared" si="24"/>
        <v>25252.375799597146</v>
      </c>
      <c r="AB111" s="5">
        <f t="shared" si="25"/>
        <v>59079.581981387273</v>
      </c>
      <c r="AP111" s="3">
        <v>98</v>
      </c>
      <c r="AR111" s="14">
        <f t="shared" si="19"/>
        <v>0</v>
      </c>
      <c r="AS111" s="17" t="e">
        <f>IF(OR(AS110=0,AS110&gt;=#REF!),0,FV($O$1,AP111,-#REF!,0,1))</f>
        <v>#REF!</v>
      </c>
      <c r="AU111" s="5">
        <f t="shared" si="18"/>
        <v>49890.691437539921</v>
      </c>
    </row>
    <row r="112" spans="12:47" hidden="1" x14ac:dyDescent="0.25">
      <c r="L112" s="2" t="str">
        <f t="shared" si="27"/>
        <v/>
      </c>
      <c r="M112" s="45">
        <f t="shared" si="26"/>
        <v>7</v>
      </c>
      <c r="N112" s="36">
        <v>92</v>
      </c>
      <c r="O112" s="91">
        <f t="shared" si="20"/>
        <v>25252.375799597146</v>
      </c>
      <c r="P112" s="38">
        <f t="shared" si="21"/>
        <v>58524.257421068512</v>
      </c>
      <c r="W112" s="26">
        <f t="shared" si="22"/>
        <v>22782.158346845899</v>
      </c>
      <c r="X112" s="5">
        <f t="shared" si="23"/>
        <v>52799.344912316112</v>
      </c>
      <c r="Y112" s="5"/>
      <c r="AA112" s="63">
        <f t="shared" si="24"/>
        <v>25252.375799597146</v>
      </c>
      <c r="AB112" s="5">
        <f t="shared" si="25"/>
        <v>58524.257421068512</v>
      </c>
      <c r="AP112" s="3">
        <v>99</v>
      </c>
      <c r="AR112" s="14">
        <f t="shared" si="19"/>
        <v>0</v>
      </c>
      <c r="AS112" s="17" t="e">
        <f>IF(OR(AS111=0,AS111&gt;=#REF!),0,FV($O$1,AP112,-#REF!,0,1))</f>
        <v>#REF!</v>
      </c>
      <c r="AU112" s="5">
        <f t="shared" si="18"/>
        <v>49421.738791678632</v>
      </c>
    </row>
    <row r="113" spans="12:47" hidden="1" x14ac:dyDescent="0.25">
      <c r="L113" s="2" t="str">
        <f t="shared" si="27"/>
        <v/>
      </c>
      <c r="M113" s="45">
        <f t="shared" si="26"/>
        <v>7</v>
      </c>
      <c r="N113" s="36">
        <v>93</v>
      </c>
      <c r="O113" s="91">
        <f t="shared" si="20"/>
        <v>25252.375799597146</v>
      </c>
      <c r="P113" s="38">
        <f t="shared" si="21"/>
        <v>57974.152690629227</v>
      </c>
      <c r="W113" s="26">
        <f t="shared" si="22"/>
        <v>22782.158346845899</v>
      </c>
      <c r="X113" s="5">
        <f t="shared" si="23"/>
        <v>52303.052081270223</v>
      </c>
      <c r="Y113" s="5"/>
      <c r="AA113" s="63">
        <f t="shared" si="24"/>
        <v>25252.375799597146</v>
      </c>
      <c r="AB113" s="5">
        <f t="shared" si="25"/>
        <v>57974.152690629227</v>
      </c>
      <c r="AP113" s="3">
        <v>100</v>
      </c>
      <c r="AR113" s="14">
        <f t="shared" si="19"/>
        <v>0</v>
      </c>
      <c r="AS113" s="17" t="e">
        <f>IF(OR(AS112=0,AS112&gt;=#REF!),0,FV($O$1,AP113,-#REF!,0,1))</f>
        <v>#REF!</v>
      </c>
      <c r="AU113" s="5">
        <f t="shared" si="18"/>
        <v>48957.194114072016</v>
      </c>
    </row>
    <row r="114" spans="12:47" hidden="1" x14ac:dyDescent="0.25">
      <c r="L114" s="2" t="str">
        <f t="shared" si="27"/>
        <v/>
      </c>
      <c r="M114" s="45">
        <f t="shared" si="26"/>
        <v>7</v>
      </c>
      <c r="N114" s="36">
        <v>94</v>
      </c>
      <c r="O114" s="91">
        <f t="shared" si="20"/>
        <v>25252.375799597146</v>
      </c>
      <c r="P114" s="38">
        <f t="shared" si="21"/>
        <v>57429.218725745755</v>
      </c>
      <c r="W114" s="26">
        <f t="shared" si="22"/>
        <v>22782.158346845899</v>
      </c>
      <c r="X114" s="5">
        <f t="shared" si="23"/>
        <v>51811.424205339914</v>
      </c>
      <c r="Y114" s="5"/>
      <c r="AA114" s="63">
        <f t="shared" si="24"/>
        <v>25252.375799597146</v>
      </c>
      <c r="AB114" s="5">
        <f t="shared" si="25"/>
        <v>57429.218725745755</v>
      </c>
      <c r="AP114" s="3">
        <v>101</v>
      </c>
      <c r="AR114" s="14">
        <f t="shared" si="19"/>
        <v>0</v>
      </c>
      <c r="AS114" s="17" t="e">
        <f>IF(OR(AS113=0,AS113&gt;=#REF!),0,FV($O$1,AP114,-#REF!,0,1))</f>
        <v>#REF!</v>
      </c>
      <c r="AU114" s="5">
        <f t="shared" si="18"/>
        <v>48497.015971572597</v>
      </c>
    </row>
    <row r="115" spans="12:47" hidden="1" x14ac:dyDescent="0.25">
      <c r="L115" s="2" t="str">
        <f t="shared" si="27"/>
        <v/>
      </c>
      <c r="M115" s="45">
        <f t="shared" si="26"/>
        <v>7</v>
      </c>
      <c r="N115" s="36">
        <v>95</v>
      </c>
      <c r="O115" s="91">
        <f t="shared" si="20"/>
        <v>25252.375799597146</v>
      </c>
      <c r="P115" s="38">
        <f t="shared" si="21"/>
        <v>56889.406923279523</v>
      </c>
      <c r="W115" s="26">
        <f t="shared" si="22"/>
        <v>22782.158346845899</v>
      </c>
      <c r="X115" s="5">
        <f t="shared" si="23"/>
        <v>51324.417435803472</v>
      </c>
      <c r="Y115" s="5"/>
      <c r="AA115" s="63">
        <f t="shared" si="24"/>
        <v>25252.375799597146</v>
      </c>
      <c r="AB115" s="5">
        <f t="shared" si="25"/>
        <v>56889.406923279523</v>
      </c>
      <c r="AD115" s="14"/>
      <c r="AE115" s="14"/>
      <c r="AP115" s="3">
        <v>102</v>
      </c>
      <c r="AR115" s="14">
        <f t="shared" si="19"/>
        <v>0</v>
      </c>
      <c r="AS115" s="17" t="e">
        <f>IF(OR(AS114=0,AS114&gt;=#REF!),0,FV($O$1,AP115,-#REF!,0,1))</f>
        <v>#REF!</v>
      </c>
      <c r="AU115" s="5">
        <f t="shared" si="18"/>
        <v>48041.163320487998</v>
      </c>
    </row>
    <row r="116" spans="12:47" hidden="1" x14ac:dyDescent="0.25">
      <c r="L116" s="2" t="str">
        <f t="shared" si="27"/>
        <v/>
      </c>
      <c r="M116" s="45">
        <f t="shared" si="26"/>
        <v>7</v>
      </c>
      <c r="N116" s="36">
        <v>96</v>
      </c>
      <c r="O116" s="91">
        <f t="shared" si="20"/>
        <v>25252.375799597146</v>
      </c>
      <c r="P116" s="38">
        <f t="shared" si="21"/>
        <v>56354.669136942139</v>
      </c>
      <c r="W116" s="26">
        <f t="shared" si="22"/>
        <v>22782.158346845899</v>
      </c>
      <c r="X116" s="5">
        <f t="shared" si="23"/>
        <v>50841.988336099734</v>
      </c>
      <c r="Y116" s="5"/>
      <c r="AA116" s="63">
        <f t="shared" si="24"/>
        <v>25252.375799597146</v>
      </c>
      <c r="AB116" s="5">
        <f t="shared" si="25"/>
        <v>56354.669136942139</v>
      </c>
      <c r="AD116" s="14"/>
      <c r="AE116" s="14"/>
      <c r="AP116" s="3">
        <v>103</v>
      </c>
      <c r="AR116" s="14">
        <f t="shared" si="19"/>
        <v>0</v>
      </c>
      <c r="AS116" s="17" t="e">
        <f>IF(OR(AS115=0,AS115&gt;=#REF!),0,FV($O$1,AP116,-#REF!,0,1))</f>
        <v>#REF!</v>
      </c>
      <c r="AU116" s="5">
        <f t="shared" si="18"/>
        <v>47589.595502920223</v>
      </c>
    </row>
    <row r="117" spans="12:47" hidden="1" x14ac:dyDescent="0.25">
      <c r="L117" s="2" t="str">
        <f t="shared" si="27"/>
        <v/>
      </c>
      <c r="M117" s="45">
        <f t="shared" si="26"/>
        <v>8</v>
      </c>
      <c r="N117" s="36">
        <v>97</v>
      </c>
      <c r="O117" s="91">
        <f t="shared" si="20"/>
        <v>27777.61337955686</v>
      </c>
      <c r="P117" s="38">
        <f t="shared" si="21"/>
        <v>61407.453440301273</v>
      </c>
      <c r="W117" s="26">
        <f t="shared" si="22"/>
        <v>22782.158346845899</v>
      </c>
      <c r="X117" s="5">
        <f t="shared" si="23"/>
        <v>50364.093877953921</v>
      </c>
      <c r="Y117" s="5"/>
      <c r="AA117" s="63">
        <f t="shared" si="24"/>
        <v>27777.61337955686</v>
      </c>
      <c r="AB117" s="5">
        <f t="shared" si="25"/>
        <v>61407.453440301273</v>
      </c>
      <c r="AP117" s="3">
        <v>104</v>
      </c>
      <c r="AR117" s="14">
        <f t="shared" si="19"/>
        <v>0</v>
      </c>
      <c r="AS117" s="17" t="e">
        <f>IF(OR(AS116=0,AS116&gt;=#REF!),0,FV($O$1,AP117,-#REF!,0,1))</f>
        <v>#REF!</v>
      </c>
      <c r="AU117" s="5">
        <f t="shared" si="18"/>
        <v>47142.272243139319</v>
      </c>
    </row>
    <row r="118" spans="12:47" hidden="1" x14ac:dyDescent="0.25">
      <c r="L118" s="2" t="str">
        <f t="shared" si="27"/>
        <v/>
      </c>
      <c r="M118" s="45">
        <f t="shared" si="26"/>
        <v>8</v>
      </c>
      <c r="N118" s="36">
        <v>98</v>
      </c>
      <c r="O118" s="91">
        <f t="shared" si="20"/>
        <v>27777.61337955686</v>
      </c>
      <c r="P118" s="38">
        <f t="shared" si="21"/>
        <v>60830.247814628878</v>
      </c>
      <c r="W118" s="26">
        <f t="shared" si="22"/>
        <v>22782.158346845899</v>
      </c>
      <c r="X118" s="5">
        <f t="shared" si="23"/>
        <v>49890.691437539921</v>
      </c>
      <c r="Y118" s="5"/>
      <c r="AA118" s="63">
        <f t="shared" si="24"/>
        <v>27777.61337955686</v>
      </c>
      <c r="AB118" s="5">
        <f t="shared" si="25"/>
        <v>60830.247814628878</v>
      </c>
      <c r="AD118" s="14"/>
      <c r="AE118" s="14"/>
      <c r="AP118" s="3">
        <v>105</v>
      </c>
      <c r="AR118" s="14">
        <f t="shared" si="19"/>
        <v>0</v>
      </c>
      <c r="AS118" s="17" t="e">
        <f>IF(OR(AS117=0,AS117&gt;=#REF!),0,FV($O$1,AP118,-#REF!,0,1))</f>
        <v>#REF!</v>
      </c>
      <c r="AU118" s="5">
        <f t="shared" si="18"/>
        <v>46699.153643991216</v>
      </c>
    </row>
    <row r="119" spans="12:47" hidden="1" x14ac:dyDescent="0.25">
      <c r="L119" s="2" t="str">
        <f t="shared" si="27"/>
        <v/>
      </c>
      <c r="M119" s="45">
        <f t="shared" si="26"/>
        <v>8</v>
      </c>
      <c r="N119" s="36">
        <v>99</v>
      </c>
      <c r="O119" s="91">
        <f t="shared" si="20"/>
        <v>27777.61337955686</v>
      </c>
      <c r="P119" s="38">
        <f t="shared" si="21"/>
        <v>60258.467692142869</v>
      </c>
      <c r="W119" s="26">
        <f t="shared" si="22"/>
        <v>22782.158346845899</v>
      </c>
      <c r="X119" s="5">
        <f t="shared" si="23"/>
        <v>49421.738791678632</v>
      </c>
      <c r="Y119" s="5"/>
      <c r="AA119" s="63">
        <f t="shared" si="24"/>
        <v>27777.61337955686</v>
      </c>
      <c r="AB119" s="5">
        <f t="shared" si="25"/>
        <v>60258.467692142869</v>
      </c>
      <c r="AD119" s="14"/>
      <c r="AE119" s="14"/>
      <c r="AP119" s="3">
        <v>106</v>
      </c>
      <c r="AR119" s="14">
        <f t="shared" si="19"/>
        <v>0</v>
      </c>
      <c r="AS119" s="17" t="e">
        <f>IF(OR(AS118=0,AS118&gt;=#REF!),0,FV($O$1,AP119,-#REF!,0,1))</f>
        <v>#REF!</v>
      </c>
      <c r="AU119" s="5">
        <f t="shared" si="18"/>
        <v>46260.200183339148</v>
      </c>
    </row>
    <row r="120" spans="12:47" hidden="1" x14ac:dyDescent="0.25">
      <c r="L120" s="2" t="str">
        <f t="shared" si="27"/>
        <v/>
      </c>
      <c r="M120" s="45">
        <f t="shared" si="26"/>
        <v>8</v>
      </c>
      <c r="N120" s="36">
        <v>100</v>
      </c>
      <c r="O120" s="91">
        <f t="shared" si="20"/>
        <v>27777.61337955686</v>
      </c>
      <c r="P120" s="38">
        <f t="shared" si="21"/>
        <v>59692.062075272333</v>
      </c>
      <c r="W120" s="26">
        <f t="shared" si="22"/>
        <v>22782.158346845899</v>
      </c>
      <c r="X120" s="5">
        <f t="shared" si="23"/>
        <v>48957.194114072016</v>
      </c>
      <c r="Y120" s="5"/>
      <c r="AA120" s="63">
        <f t="shared" si="24"/>
        <v>27777.61337955686</v>
      </c>
      <c r="AB120" s="5">
        <f t="shared" si="25"/>
        <v>59692.062075272333</v>
      </c>
      <c r="AP120" s="3">
        <v>107</v>
      </c>
      <c r="AR120" s="14">
        <f t="shared" si="19"/>
        <v>0</v>
      </c>
      <c r="AS120" s="17" t="e">
        <f>IF(OR(AS119=0,AS119&gt;=#REF!),0,FV($O$1,AP120,-#REF!,0,1))</f>
        <v>#REF!</v>
      </c>
      <c r="AU120" s="5">
        <f t="shared" si="18"/>
        <v>45825.372710538752</v>
      </c>
    </row>
    <row r="121" spans="12:47" hidden="1" x14ac:dyDescent="0.25">
      <c r="L121" s="2" t="str">
        <f t="shared" si="27"/>
        <v/>
      </c>
      <c r="M121" s="45">
        <f t="shared" si="26"/>
        <v>8</v>
      </c>
      <c r="N121" s="36">
        <v>101</v>
      </c>
      <c r="O121" s="91">
        <f t="shared" si="20"/>
        <v>27777.61337955686</v>
      </c>
      <c r="P121" s="38">
        <f t="shared" si="21"/>
        <v>59130.98044580323</v>
      </c>
      <c r="W121" s="26">
        <f t="shared" si="22"/>
        <v>22782.158346845899</v>
      </c>
      <c r="X121" s="5">
        <f t="shared" si="23"/>
        <v>48497.015971572597</v>
      </c>
      <c r="Y121" s="5"/>
      <c r="AA121" s="63">
        <f t="shared" si="24"/>
        <v>27777.61337955686</v>
      </c>
      <c r="AB121" s="5">
        <f t="shared" si="25"/>
        <v>59130.98044580323</v>
      </c>
      <c r="AP121" s="3">
        <v>108</v>
      </c>
      <c r="AR121" s="14">
        <f t="shared" si="19"/>
        <v>0</v>
      </c>
      <c r="AS121" s="17" t="e">
        <f>IF(OR(AS120=0,AS120&gt;=#REF!),0,FV($O$1,AP121,-#REF!,0,1))</f>
        <v>#REF!</v>
      </c>
      <c r="AU121" s="5">
        <f t="shared" si="18"/>
        <v>45394.632442946124</v>
      </c>
    </row>
    <row r="122" spans="12:47" hidden="1" x14ac:dyDescent="0.25">
      <c r="L122" s="2" t="str">
        <f t="shared" si="27"/>
        <v/>
      </c>
      <c r="M122" s="45">
        <f t="shared" si="26"/>
        <v>8</v>
      </c>
      <c r="N122" s="36">
        <v>102</v>
      </c>
      <c r="O122" s="91">
        <f t="shared" si="20"/>
        <v>27777.61337955686</v>
      </c>
      <c r="P122" s="38">
        <f t="shared" si="21"/>
        <v>58575.172760372625</v>
      </c>
      <c r="W122" s="26">
        <f t="shared" si="22"/>
        <v>22782.158346845899</v>
      </c>
      <c r="X122" s="5">
        <f t="shared" si="23"/>
        <v>48041.163320487998</v>
      </c>
      <c r="Y122" s="5"/>
      <c r="AA122" s="63">
        <f t="shared" si="24"/>
        <v>27777.61337955686</v>
      </c>
      <c r="AB122" s="5">
        <f t="shared" si="25"/>
        <v>58575.172760372625</v>
      </c>
      <c r="AP122" s="3">
        <v>109</v>
      </c>
      <c r="AR122" s="14">
        <f t="shared" si="19"/>
        <v>0</v>
      </c>
      <c r="AS122" s="17" t="e">
        <f>IF(OR(AS121=0,AS121&gt;=#REF!),0,FV($O$1,AP122,-#REF!,0,1))</f>
        <v>#REF!</v>
      </c>
      <c r="AU122" s="5">
        <f t="shared" si="18"/>
        <v>44967.940962458801</v>
      </c>
    </row>
    <row r="123" spans="12:47" hidden="1" x14ac:dyDescent="0.25">
      <c r="L123" s="2" t="str">
        <f t="shared" si="27"/>
        <v/>
      </c>
      <c r="M123" s="45">
        <f t="shared" si="26"/>
        <v>8</v>
      </c>
      <c r="N123" s="36">
        <v>103</v>
      </c>
      <c r="O123" s="91">
        <f t="shared" si="20"/>
        <v>27777.61337955686</v>
      </c>
      <c r="P123" s="38">
        <f t="shared" si="21"/>
        <v>58024.58944600528</v>
      </c>
      <c r="W123" s="26">
        <f t="shared" si="22"/>
        <v>22782.158346845899</v>
      </c>
      <c r="X123" s="5">
        <f t="shared" si="23"/>
        <v>47589.595502920223</v>
      </c>
      <c r="Y123" s="5"/>
      <c r="AA123" s="63">
        <f t="shared" si="24"/>
        <v>27777.61337955686</v>
      </c>
      <c r="AB123" s="5">
        <f t="shared" si="25"/>
        <v>58024.58944600528</v>
      </c>
      <c r="AP123" s="3">
        <v>110</v>
      </c>
      <c r="AR123" s="14">
        <f t="shared" si="19"/>
        <v>0</v>
      </c>
      <c r="AS123" s="17" t="e">
        <f>IF(OR(AS122=0,AS122&gt;=#REF!),0,FV($O$1,AP123,-#REF!,0,1))</f>
        <v>#REF!</v>
      </c>
      <c r="AU123" s="5">
        <f t="shared" si="18"/>
        <v>44545.260212089168</v>
      </c>
    </row>
    <row r="124" spans="12:47" hidden="1" x14ac:dyDescent="0.25">
      <c r="L124" s="2" t="str">
        <f t="shared" si="27"/>
        <v/>
      </c>
      <c r="M124" s="45">
        <f t="shared" si="26"/>
        <v>8</v>
      </c>
      <c r="N124" s="36">
        <v>104</v>
      </c>
      <c r="O124" s="91">
        <f t="shared" si="20"/>
        <v>27777.61337955686</v>
      </c>
      <c r="P124" s="38">
        <f t="shared" si="21"/>
        <v>57479.181395692212</v>
      </c>
      <c r="W124" s="26">
        <f t="shared" si="22"/>
        <v>22782.158346845899</v>
      </c>
      <c r="X124" s="5">
        <f t="shared" si="23"/>
        <v>47142.272243139319</v>
      </c>
      <c r="Y124" s="5"/>
      <c r="AA124" s="63">
        <f t="shared" si="24"/>
        <v>27777.61337955686</v>
      </c>
      <c r="AB124" s="5">
        <f t="shared" si="25"/>
        <v>57479.181395692212</v>
      </c>
      <c r="AP124" s="3">
        <v>111</v>
      </c>
      <c r="AR124" s="14">
        <f t="shared" si="19"/>
        <v>0</v>
      </c>
      <c r="AS124" s="17" t="e">
        <f>IF(OR(AS123=0,AS123&gt;=#REF!),0,FV($O$1,AP124,-#REF!,0,1))</f>
        <v>#REF!</v>
      </c>
      <c r="AU124" s="5">
        <f t="shared" si="18"/>
        <v>44126.552492570161</v>
      </c>
    </row>
    <row r="125" spans="12:47" hidden="1" x14ac:dyDescent="0.25">
      <c r="L125" s="2" t="str">
        <f t="shared" si="27"/>
        <v/>
      </c>
      <c r="M125" s="45">
        <f t="shared" si="26"/>
        <v>8</v>
      </c>
      <c r="N125" s="36">
        <v>105</v>
      </c>
      <c r="O125" s="91">
        <f t="shared" si="20"/>
        <v>27777.61337955686</v>
      </c>
      <c r="P125" s="38">
        <f t="shared" si="21"/>
        <v>56938.899964010787</v>
      </c>
      <c r="W125" s="26">
        <f t="shared" si="22"/>
        <v>22782.158346845899</v>
      </c>
      <c r="X125" s="5">
        <f t="shared" si="23"/>
        <v>46699.153643991216</v>
      </c>
      <c r="Y125" s="5"/>
      <c r="AA125" s="63">
        <f t="shared" si="24"/>
        <v>27777.61337955686</v>
      </c>
      <c r="AB125" s="5">
        <f t="shared" si="25"/>
        <v>56938.899964010787</v>
      </c>
      <c r="AP125" s="3">
        <v>112</v>
      </c>
      <c r="AR125" s="14">
        <f t="shared" si="19"/>
        <v>0</v>
      </c>
      <c r="AS125" s="17" t="e">
        <f>IF(OR(AS124=0,AS124&gt;=#REF!),0,FV($O$1,AP125,-#REF!,0,1))</f>
        <v>#REF!</v>
      </c>
      <c r="AU125" s="5">
        <f t="shared" si="18"/>
        <v>43711.780458992813</v>
      </c>
    </row>
    <row r="126" spans="12:47" hidden="1" x14ac:dyDescent="0.25">
      <c r="L126" s="2" t="str">
        <f t="shared" si="27"/>
        <v/>
      </c>
      <c r="M126" s="45">
        <f t="shared" si="26"/>
        <v>8</v>
      </c>
      <c r="N126" s="36">
        <v>106</v>
      </c>
      <c r="O126" s="91">
        <f t="shared" si="20"/>
        <v>27777.61337955686</v>
      </c>
      <c r="P126" s="38">
        <f t="shared" si="21"/>
        <v>56403.696962785936</v>
      </c>
      <c r="W126" s="26">
        <f t="shared" si="22"/>
        <v>22782.158346845899</v>
      </c>
      <c r="X126" s="5">
        <f t="shared" si="23"/>
        <v>46260.200183339148</v>
      </c>
      <c r="Y126" s="5"/>
      <c r="AA126" s="63">
        <f t="shared" si="24"/>
        <v>27777.61337955686</v>
      </c>
      <c r="AB126" s="5">
        <f t="shared" si="25"/>
        <v>56403.696962785936</v>
      </c>
      <c r="AC126" s="14"/>
      <c r="AP126" s="3">
        <v>113</v>
      </c>
      <c r="AR126" s="14">
        <f t="shared" si="19"/>
        <v>0</v>
      </c>
      <c r="AS126" s="17" t="e">
        <f>IF(OR(AS125=0,AS125&gt;=#REF!),0,FV($O$1,AP126,-#REF!,0,1))</f>
        <v>#REF!</v>
      </c>
      <c r="AU126" s="5">
        <f t="shared" si="18"/>
        <v>43300.907117475479</v>
      </c>
    </row>
    <row r="127" spans="12:47" hidden="1" x14ac:dyDescent="0.25">
      <c r="L127" s="2" t="str">
        <f t="shared" si="27"/>
        <v/>
      </c>
      <c r="M127" s="45">
        <f t="shared" si="26"/>
        <v>8</v>
      </c>
      <c r="N127" s="36">
        <v>107</v>
      </c>
      <c r="O127" s="91">
        <f t="shared" si="20"/>
        <v>27777.61337955686</v>
      </c>
      <c r="P127" s="38">
        <f t="shared" si="21"/>
        <v>55873.52465679231</v>
      </c>
      <c r="W127" s="26">
        <f t="shared" si="22"/>
        <v>22782.158346845899</v>
      </c>
      <c r="X127" s="5">
        <f t="shared" si="23"/>
        <v>45825.372710538752</v>
      </c>
      <c r="Y127" s="5"/>
      <c r="AA127" s="63">
        <f t="shared" si="24"/>
        <v>27777.61337955686</v>
      </c>
      <c r="AB127" s="5">
        <f t="shared" si="25"/>
        <v>55873.52465679231</v>
      </c>
      <c r="AP127" s="3">
        <v>114</v>
      </c>
      <c r="AR127" s="14">
        <f t="shared" si="19"/>
        <v>0</v>
      </c>
      <c r="AS127" s="17" t="e">
        <f>IF(OR(AS126=0,AS126&gt;=#REF!),0,FV($O$1,AP127,-#REF!,0,1))</f>
        <v>#REF!</v>
      </c>
      <c r="AU127" s="5">
        <f t="shared" si="18"/>
        <v>42893.895821864236</v>
      </c>
    </row>
    <row r="128" spans="12:47" hidden="1" x14ac:dyDescent="0.25">
      <c r="L128" s="2" t="str">
        <f t="shared" si="27"/>
        <v/>
      </c>
      <c r="M128" s="45">
        <f t="shared" si="26"/>
        <v>8</v>
      </c>
      <c r="N128" s="36">
        <v>108</v>
      </c>
      <c r="O128" s="91">
        <f t="shared" si="20"/>
        <v>27777.61337955686</v>
      </c>
      <c r="P128" s="38">
        <f t="shared" si="21"/>
        <v>55348.335759496658</v>
      </c>
      <c r="W128" s="26">
        <f t="shared" si="22"/>
        <v>22782.158346845899</v>
      </c>
      <c r="X128" s="5">
        <f t="shared" si="23"/>
        <v>45394.632442946124</v>
      </c>
      <c r="Y128" s="5"/>
      <c r="AA128" s="63">
        <f t="shared" si="24"/>
        <v>27777.61337955686</v>
      </c>
      <c r="AB128" s="5">
        <f t="shared" si="25"/>
        <v>55348.335759496658</v>
      </c>
      <c r="AP128" s="3">
        <v>115</v>
      </c>
      <c r="AR128" s="14">
        <f t="shared" si="19"/>
        <v>0</v>
      </c>
      <c r="AS128" s="17" t="e">
        <f>IF(OR(AS127=0,AS127&gt;=#REF!),0,FV($O$1,AP128,-#REF!,0,1))</f>
        <v>#REF!</v>
      </c>
      <c r="AU128" s="5">
        <f t="shared" si="18"/>
        <v>42490.710270464428</v>
      </c>
    </row>
    <row r="129" spans="12:47" hidden="1" x14ac:dyDescent="0.25">
      <c r="L129" s="2" t="str">
        <f t="shared" si="27"/>
        <v/>
      </c>
      <c r="M129" s="45">
        <f t="shared" si="26"/>
        <v>9</v>
      </c>
      <c r="N129" s="36">
        <v>109</v>
      </c>
      <c r="O129" s="91">
        <f t="shared" si="20"/>
        <v>30555.37471751255</v>
      </c>
      <c r="P129" s="38">
        <f t="shared" si="21"/>
        <v>60310.891771724397</v>
      </c>
      <c r="W129" s="26">
        <f t="shared" si="22"/>
        <v>22782.158346845899</v>
      </c>
      <c r="X129" s="5">
        <f t="shared" si="23"/>
        <v>44967.940962458801</v>
      </c>
      <c r="Y129" s="5"/>
      <c r="AA129" s="63">
        <f t="shared" si="24"/>
        <v>30555.37471751255</v>
      </c>
      <c r="AB129" s="5">
        <f t="shared" si="25"/>
        <v>60310.891771724397</v>
      </c>
      <c r="AP129" s="3">
        <v>116</v>
      </c>
      <c r="AR129" s="14">
        <f t="shared" si="19"/>
        <v>0</v>
      </c>
      <c r="AS129" s="17" t="e">
        <f>IF(OR(AS128=0,AS128&gt;=#REF!),0,FV($O$1,AP129,-#REF!,0,1))</f>
        <v>#REF!</v>
      </c>
      <c r="AU129" s="5">
        <f t="shared" si="18"/>
        <v>42091.314502802918</v>
      </c>
    </row>
    <row r="130" spans="12:47" hidden="1" x14ac:dyDescent="0.25">
      <c r="L130" s="2" t="str">
        <f t="shared" si="27"/>
        <v/>
      </c>
      <c r="M130" s="45">
        <f t="shared" si="26"/>
        <v>9</v>
      </c>
      <c r="N130" s="36">
        <v>110</v>
      </c>
      <c r="O130" s="91">
        <f t="shared" si="20"/>
        <v>30555.37471751255</v>
      </c>
      <c r="P130" s="38">
        <f t="shared" si="21"/>
        <v>59743.993389367592</v>
      </c>
      <c r="W130" s="26">
        <f t="shared" si="22"/>
        <v>22782.158346845899</v>
      </c>
      <c r="X130" s="5">
        <f t="shared" si="23"/>
        <v>44545.260212089168</v>
      </c>
      <c r="Y130" s="5"/>
      <c r="AA130" s="63">
        <f t="shared" si="24"/>
        <v>30555.37471751255</v>
      </c>
      <c r="AB130" s="5">
        <f t="shared" si="25"/>
        <v>59743.993389367592</v>
      </c>
      <c r="AP130" s="3">
        <v>117</v>
      </c>
      <c r="AR130" s="14">
        <f t="shared" si="19"/>
        <v>0</v>
      </c>
      <c r="AS130" s="17" t="e">
        <f>IF(OR(AS129=0,AS129&gt;=#REF!),0,FV($O$1,AP130,-#REF!,0,1))</f>
        <v>#REF!</v>
      </c>
      <c r="AU130" s="5">
        <f t="shared" si="18"/>
        <v>41695.672896420678</v>
      </c>
    </row>
    <row r="131" spans="12:47" hidden="1" x14ac:dyDescent="0.25">
      <c r="L131" s="2" t="str">
        <f t="shared" si="27"/>
        <v/>
      </c>
      <c r="M131" s="45">
        <f t="shared" si="26"/>
        <v>9</v>
      </c>
      <c r="N131" s="36">
        <v>111</v>
      </c>
      <c r="O131" s="91">
        <f t="shared" si="20"/>
        <v>30555.37471751255</v>
      </c>
      <c r="P131" s="38">
        <f t="shared" si="21"/>
        <v>59182.42362621169</v>
      </c>
      <c r="W131" s="26">
        <f t="shared" si="22"/>
        <v>22782.158346845899</v>
      </c>
      <c r="X131" s="5">
        <f t="shared" si="23"/>
        <v>44126.552492570161</v>
      </c>
      <c r="Y131" s="5"/>
      <c r="AA131" s="63">
        <f t="shared" si="24"/>
        <v>30555.37471751255</v>
      </c>
      <c r="AB131" s="5">
        <f t="shared" si="25"/>
        <v>59182.42362621169</v>
      </c>
      <c r="AP131" s="3">
        <v>118</v>
      </c>
      <c r="AR131" s="14">
        <f t="shared" si="19"/>
        <v>0</v>
      </c>
      <c r="AS131" s="17" t="e">
        <f>IF(OR(AS130=0,AS130&gt;=#REF!),0,FV($O$1,AP131,-#REF!,0,1))</f>
        <v>#REF!</v>
      </c>
      <c r="AU131" s="5">
        <f t="shared" si="18"/>
        <v>41303.750163695615</v>
      </c>
    </row>
    <row r="132" spans="12:47" hidden="1" x14ac:dyDescent="0.25">
      <c r="L132" s="2" t="str">
        <f t="shared" si="27"/>
        <v/>
      </c>
      <c r="M132" s="45">
        <f t="shared" si="26"/>
        <v>9</v>
      </c>
      <c r="N132" s="36">
        <v>112</v>
      </c>
      <c r="O132" s="91">
        <f t="shared" si="20"/>
        <v>30555.37471751255</v>
      </c>
      <c r="P132" s="38">
        <f t="shared" si="21"/>
        <v>58626.13239535669</v>
      </c>
      <c r="W132" s="26">
        <f t="shared" si="22"/>
        <v>22782.158346845899</v>
      </c>
      <c r="X132" s="5">
        <f t="shared" si="23"/>
        <v>43711.780458992813</v>
      </c>
      <c r="Y132" s="5"/>
      <c r="AA132" s="63">
        <f t="shared" si="24"/>
        <v>30555.37471751255</v>
      </c>
      <c r="AB132" s="5">
        <f t="shared" si="25"/>
        <v>58626.13239535669</v>
      </c>
      <c r="AP132" s="3">
        <v>119</v>
      </c>
      <c r="AR132" s="14">
        <f t="shared" si="19"/>
        <v>0</v>
      </c>
      <c r="AS132" s="17" t="e">
        <f>IF(OR(AS131=0,AS131&gt;=#REF!),0,FV($O$1,AP132,-#REF!,0,1))</f>
        <v>#REF!</v>
      </c>
      <c r="AU132" s="5">
        <f t="shared" si="18"/>
        <v>40915.511348695261</v>
      </c>
    </row>
    <row r="133" spans="12:47" hidden="1" x14ac:dyDescent="0.25">
      <c r="L133" s="2" t="str">
        <f t="shared" si="27"/>
        <v/>
      </c>
      <c r="M133" s="45">
        <f t="shared" si="26"/>
        <v>9</v>
      </c>
      <c r="N133" s="36">
        <v>113</v>
      </c>
      <c r="O133" s="91">
        <f t="shared" si="20"/>
        <v>30555.37471751255</v>
      </c>
      <c r="P133" s="38">
        <f t="shared" si="21"/>
        <v>58075.070080699537</v>
      </c>
      <c r="W133" s="26">
        <f t="shared" si="22"/>
        <v>22782.158346845899</v>
      </c>
      <c r="X133" s="5">
        <f t="shared" si="23"/>
        <v>43300.907117475479</v>
      </c>
      <c r="Y133" s="5"/>
      <c r="AA133" s="63">
        <f t="shared" si="24"/>
        <v>30555.37471751255</v>
      </c>
      <c r="AB133" s="5">
        <f t="shared" si="25"/>
        <v>58075.070080699537</v>
      </c>
      <c r="AP133" s="3">
        <v>120</v>
      </c>
      <c r="AR133" s="14">
        <f t="shared" si="19"/>
        <v>0</v>
      </c>
      <c r="AS133" s="17" t="e">
        <f>IF(OR(AS132=0,AS132&gt;=#REF!),0,FV($O$1,AP133,-#REF!,0,1))</f>
        <v>#REF!</v>
      </c>
      <c r="AU133" s="5">
        <f t="shared" si="18"/>
        <v>40530.921824058983</v>
      </c>
    </row>
    <row r="134" spans="12:47" hidden="1" x14ac:dyDescent="0.25">
      <c r="L134" s="2" t="str">
        <f t="shared" si="27"/>
        <v/>
      </c>
      <c r="M134" s="45">
        <f t="shared" si="26"/>
        <v>9</v>
      </c>
      <c r="N134" s="36">
        <v>114</v>
      </c>
      <c r="O134" s="91">
        <f t="shared" si="20"/>
        <v>30555.37471751255</v>
      </c>
      <c r="P134" s="38">
        <f t="shared" si="21"/>
        <v>57529.187532508768</v>
      </c>
      <c r="W134" s="26">
        <f t="shared" si="22"/>
        <v>22782.158346845899</v>
      </c>
      <c r="X134" s="5">
        <f t="shared" si="23"/>
        <v>42893.895821864236</v>
      </c>
      <c r="Y134" s="5"/>
      <c r="AA134" s="63">
        <f t="shared" si="24"/>
        <v>30555.37471751255</v>
      </c>
      <c r="AB134" s="5">
        <f t="shared" si="25"/>
        <v>57529.187532508768</v>
      </c>
      <c r="AP134" s="3">
        <v>121</v>
      </c>
      <c r="AR134" s="14">
        <f t="shared" si="19"/>
        <v>0</v>
      </c>
      <c r="AS134" s="17" t="e">
        <f>IF(OR(AS133=0,AS133&gt;=#REF!),0,FV($O$1,AP134,-#REF!,0,1))</f>
        <v>#REF!</v>
      </c>
      <c r="AU134" s="5">
        <f t="shared" si="18"/>
        <v>40149.947287909592</v>
      </c>
    </row>
    <row r="135" spans="12:47" hidden="1" x14ac:dyDescent="0.25">
      <c r="L135" s="2" t="str">
        <f t="shared" si="27"/>
        <v/>
      </c>
      <c r="M135" s="45">
        <f t="shared" si="26"/>
        <v>9</v>
      </c>
      <c r="N135" s="36">
        <v>115</v>
      </c>
      <c r="O135" s="91">
        <f t="shared" si="20"/>
        <v>30555.37471751255</v>
      </c>
      <c r="P135" s="38">
        <f t="shared" si="21"/>
        <v>56988.436063040841</v>
      </c>
      <c r="W135" s="26">
        <f t="shared" si="22"/>
        <v>22782.158346845899</v>
      </c>
      <c r="X135" s="5">
        <f t="shared" si="23"/>
        <v>42490.710270464428</v>
      </c>
      <c r="Y135" s="5"/>
      <c r="AA135" s="63">
        <f t="shared" si="24"/>
        <v>30555.37471751255</v>
      </c>
      <c r="AB135" s="5">
        <f t="shared" si="25"/>
        <v>56988.436063040841</v>
      </c>
      <c r="AP135" s="3">
        <v>122</v>
      </c>
      <c r="AR135" s="14">
        <f t="shared" si="19"/>
        <v>0</v>
      </c>
      <c r="AS135" s="17" t="e">
        <f>IF(OR(AS134=0,AS134&gt;=#REF!),0,FV($O$1,AP135,-#REF!,0,1))</f>
        <v>#REF!</v>
      </c>
      <c r="AU135" s="5">
        <f t="shared" si="18"/>
        <v>39772.553760793846</v>
      </c>
    </row>
    <row r="136" spans="12:47" hidden="1" x14ac:dyDescent="0.25">
      <c r="L136" s="2" t="str">
        <f t="shared" si="27"/>
        <v/>
      </c>
      <c r="M136" s="45">
        <f t="shared" si="26"/>
        <v>9</v>
      </c>
      <c r="N136" s="36">
        <v>116</v>
      </c>
      <c r="O136" s="91">
        <f t="shared" si="20"/>
        <v>30555.37471751255</v>
      </c>
      <c r="P136" s="38">
        <f t="shared" si="21"/>
        <v>56452.767442197648</v>
      </c>
      <c r="W136" s="26">
        <f t="shared" si="22"/>
        <v>22782.158346845899</v>
      </c>
      <c r="X136" s="5">
        <f t="shared" si="23"/>
        <v>42091.314502802918</v>
      </c>
      <c r="Y136" s="5"/>
      <c r="AA136" s="63">
        <f t="shared" si="24"/>
        <v>30555.37471751255</v>
      </c>
      <c r="AB136" s="5">
        <f t="shared" si="25"/>
        <v>56452.767442197648</v>
      </c>
      <c r="AP136" s="3">
        <v>123</v>
      </c>
      <c r="AR136" s="14">
        <f t="shared" si="19"/>
        <v>0</v>
      </c>
      <c r="AS136" s="17" t="e">
        <f>IF(OR(AS135=0,AS135&gt;=#REF!),0,FV($O$1,AP136,-#REF!,0,1))</f>
        <v>#REF!</v>
      </c>
      <c r="AU136" s="5">
        <f t="shared" si="18"/>
        <v>39398.70758265187</v>
      </c>
    </row>
    <row r="137" spans="12:47" hidden="1" x14ac:dyDescent="0.25">
      <c r="L137" s="2" t="str">
        <f t="shared" si="27"/>
        <v/>
      </c>
      <c r="M137" s="45">
        <f t="shared" si="26"/>
        <v>9</v>
      </c>
      <c r="N137" s="36">
        <v>117</v>
      </c>
      <c r="O137" s="91">
        <f t="shared" si="20"/>
        <v>30555.37471751255</v>
      </c>
      <c r="P137" s="38">
        <f t="shared" si="21"/>
        <v>55922.133893224811</v>
      </c>
      <c r="W137" s="26">
        <f t="shared" si="22"/>
        <v>22782.158346845899</v>
      </c>
      <c r="X137" s="5">
        <f t="shared" si="23"/>
        <v>41695.672896420678</v>
      </c>
      <c r="Y137" s="5"/>
      <c r="AA137" s="63">
        <f t="shared" si="24"/>
        <v>30555.37471751255</v>
      </c>
      <c r="AB137" s="5">
        <f t="shared" si="25"/>
        <v>55922.133893224811</v>
      </c>
      <c r="AP137" s="3">
        <v>124</v>
      </c>
      <c r="AR137" s="14">
        <f t="shared" si="19"/>
        <v>0</v>
      </c>
      <c r="AS137" s="17" t="e">
        <f>IF(OR(AS136=0,AS136&gt;=#REF!),0,FV($O$1,AP137,-#REF!,0,1))</f>
        <v>#REF!</v>
      </c>
      <c r="AU137" s="5">
        <f t="shared" si="18"/>
        <v>39028.375409814958</v>
      </c>
    </row>
    <row r="138" spans="12:47" hidden="1" x14ac:dyDescent="0.25">
      <c r="L138" s="2" t="str">
        <f t="shared" si="27"/>
        <v/>
      </c>
      <c r="M138" s="45">
        <f t="shared" si="26"/>
        <v>9</v>
      </c>
      <c r="N138" s="36">
        <v>118</v>
      </c>
      <c r="O138" s="91">
        <f t="shared" si="20"/>
        <v>30555.37471751255</v>
      </c>
      <c r="P138" s="38">
        <f t="shared" si="21"/>
        <v>55396.488088450402</v>
      </c>
      <c r="W138" s="26">
        <f t="shared" si="22"/>
        <v>22782.158346845899</v>
      </c>
      <c r="X138" s="5">
        <f t="shared" si="23"/>
        <v>41303.750163695615</v>
      </c>
      <c r="Y138" s="5"/>
      <c r="AA138" s="63">
        <f t="shared" si="24"/>
        <v>30555.37471751255</v>
      </c>
      <c r="AB138" s="5">
        <f t="shared" si="25"/>
        <v>55396.488088450402</v>
      </c>
      <c r="AP138" s="3">
        <v>125</v>
      </c>
      <c r="AR138" s="14">
        <f t="shared" si="19"/>
        <v>0</v>
      </c>
      <c r="AS138" s="17" t="e">
        <f>IF(OR(AS137=0,AS137&gt;=#REF!),0,FV($O$1,AP138,-#REF!,0,1))</f>
        <v>#REF!</v>
      </c>
      <c r="AU138" s="5">
        <f t="shared" si="18"/>
        <v>38661.524212031618</v>
      </c>
    </row>
    <row r="139" spans="12:47" hidden="1" x14ac:dyDescent="0.25">
      <c r="L139" s="2" t="str">
        <f t="shared" si="27"/>
        <v/>
      </c>
      <c r="M139" s="45">
        <f t="shared" si="26"/>
        <v>9</v>
      </c>
      <c r="N139" s="36">
        <v>119</v>
      </c>
      <c r="O139" s="91">
        <f t="shared" si="20"/>
        <v>30555.37471751255</v>
      </c>
      <c r="P139" s="38">
        <f t="shared" si="21"/>
        <v>54875.783145063811</v>
      </c>
      <c r="W139" s="26">
        <f t="shared" si="22"/>
        <v>22782.158346845899</v>
      </c>
      <c r="X139" s="5">
        <f t="shared" si="23"/>
        <v>40915.511348695261</v>
      </c>
      <c r="Y139" s="5"/>
      <c r="AA139" s="63">
        <f t="shared" si="24"/>
        <v>30555.37471751255</v>
      </c>
      <c r="AB139" s="5">
        <f t="shared" si="25"/>
        <v>54875.783145063811</v>
      </c>
      <c r="AP139" s="3">
        <v>126</v>
      </c>
      <c r="AR139" s="14">
        <f t="shared" si="19"/>
        <v>0</v>
      </c>
      <c r="AS139" s="17" t="e">
        <f>IF(OR(AS138=0,AS138&gt;=#REF!),0,FV($O$1,AP139,-#REF!,0,1))</f>
        <v>#REF!</v>
      </c>
      <c r="AU139" s="5">
        <f t="shared" si="18"/>
        <v>38298.121269521587</v>
      </c>
    </row>
    <row r="140" spans="12:47" hidden="1" x14ac:dyDescent="0.25">
      <c r="L140" s="2" t="str">
        <f t="shared" si="27"/>
        <v/>
      </c>
      <c r="M140" s="45">
        <f t="shared" si="26"/>
        <v>9</v>
      </c>
      <c r="N140" s="36">
        <v>120</v>
      </c>
      <c r="O140" s="91">
        <f t="shared" si="20"/>
        <v>30555.37471751255</v>
      </c>
      <c r="P140" s="38">
        <f t="shared" si="21"/>
        <v>54359.972620934153</v>
      </c>
      <c r="W140" s="26">
        <f t="shared" si="22"/>
        <v>22782.158346845899</v>
      </c>
      <c r="X140" s="5">
        <f t="shared" si="23"/>
        <v>40530.921824058983</v>
      </c>
      <c r="Y140" s="5"/>
      <c r="Z140" s="14"/>
      <c r="AA140" s="63">
        <f t="shared" si="24"/>
        <v>30555.37471751255</v>
      </c>
      <c r="AB140" s="5">
        <f t="shared" si="25"/>
        <v>54359.972620934153</v>
      </c>
      <c r="AP140" s="3">
        <v>127</v>
      </c>
      <c r="AR140" s="14">
        <f t="shared" si="19"/>
        <v>0</v>
      </c>
      <c r="AS140" s="17" t="e">
        <f>IF(OR(AS139=0,AS139&gt;=#REF!),0,FV($O$1,AP140,-#REF!,0,1))</f>
        <v>#REF!</v>
      </c>
      <c r="AU140" s="5">
        <f t="shared" si="18"/>
        <v>37938.134170057478</v>
      </c>
    </row>
    <row r="141" spans="12:47" hidden="1" x14ac:dyDescent="0.25">
      <c r="L141" s="2" t="str">
        <f t="shared" si="27"/>
        <v/>
      </c>
      <c r="M141" s="45">
        <f t="shared" si="26"/>
        <v>10</v>
      </c>
      <c r="N141" s="36">
        <v>121</v>
      </c>
      <c r="O141" s="91">
        <f t="shared" si="20"/>
        <v>33610.912189263807</v>
      </c>
      <c r="P141" s="38">
        <f t="shared" si="21"/>
        <v>59233.911561514957</v>
      </c>
      <c r="W141" s="26">
        <f t="shared" si="22"/>
        <v>22782.158346845899</v>
      </c>
      <c r="X141" s="5">
        <f t="shared" si="23"/>
        <v>40149.947287909592</v>
      </c>
      <c r="Y141" s="5"/>
      <c r="AA141" s="63">
        <f t="shared" si="24"/>
        <v>33610.912189263807</v>
      </c>
      <c r="AB141" s="5">
        <f t="shared" si="25"/>
        <v>59233.911561514957</v>
      </c>
      <c r="AP141" s="3">
        <v>128</v>
      </c>
      <c r="AR141" s="14">
        <f t="shared" si="19"/>
        <v>0</v>
      </c>
      <c r="AS141" s="17" t="e">
        <f>IF(OR(AS140=0,AS140&gt;=#REF!),0,FV($O$1,AP141,-#REF!,0,1))</f>
        <v>#REF!</v>
      </c>
      <c r="AU141" s="5">
        <f t="shared" si="18"/>
        <v>37581.530806073984</v>
      </c>
    </row>
    <row r="142" spans="12:47" hidden="1" x14ac:dyDescent="0.25">
      <c r="L142" s="2" t="str">
        <f t="shared" si="27"/>
        <v/>
      </c>
      <c r="M142" s="45">
        <f t="shared" si="26"/>
        <v>10</v>
      </c>
      <c r="N142" s="36">
        <v>122</v>
      </c>
      <c r="O142" s="91">
        <f t="shared" si="20"/>
        <v>33610.912189263807</v>
      </c>
      <c r="P142" s="38">
        <f t="shared" si="21"/>
        <v>58677.13636455738</v>
      </c>
      <c r="W142" s="26">
        <f t="shared" si="22"/>
        <v>22782.158346845899</v>
      </c>
      <c r="X142" s="5">
        <f t="shared" si="23"/>
        <v>39772.553760793846</v>
      </c>
      <c r="Y142" s="5"/>
      <c r="AA142" s="63">
        <f t="shared" si="24"/>
        <v>33610.912189263807</v>
      </c>
      <c r="AB142" s="5">
        <f t="shared" si="25"/>
        <v>58677.13636455738</v>
      </c>
      <c r="AP142" s="3">
        <v>129</v>
      </c>
      <c r="AR142" s="14">
        <f t="shared" si="19"/>
        <v>0</v>
      </c>
      <c r="AS142" s="17" t="e">
        <f>IF(OR(AS141=0,AS141&gt;=#REF!),0,FV($O$1,AP142,-#REF!,0,1))</f>
        <v>#REF!</v>
      </c>
      <c r="AU142" s="5">
        <f t="shared" si="18"/>
        <v>37228.279371804121</v>
      </c>
    </row>
    <row r="143" spans="12:47" hidden="1" x14ac:dyDescent="0.25">
      <c r="L143" s="2" t="str">
        <f t="shared" si="27"/>
        <v/>
      </c>
      <c r="M143" s="45">
        <f t="shared" si="26"/>
        <v>10</v>
      </c>
      <c r="N143" s="36">
        <v>123</v>
      </c>
      <c r="O143" s="91">
        <f t="shared" si="20"/>
        <v>33610.912189263807</v>
      </c>
      <c r="P143" s="38">
        <f t="shared" si="21"/>
        <v>58125.594632886394</v>
      </c>
      <c r="W143" s="26">
        <f t="shared" si="22"/>
        <v>22782.158346845899</v>
      </c>
      <c r="X143" s="5">
        <f t="shared" si="23"/>
        <v>39398.70758265187</v>
      </c>
      <c r="Y143" s="5"/>
      <c r="AA143" s="63">
        <f t="shared" si="24"/>
        <v>33610.912189263807</v>
      </c>
      <c r="AB143" s="5">
        <f t="shared" si="25"/>
        <v>58125.594632886394</v>
      </c>
      <c r="AP143" s="3">
        <v>130</v>
      </c>
      <c r="AR143" s="14">
        <f t="shared" si="19"/>
        <v>0</v>
      </c>
      <c r="AS143" s="17" t="e">
        <f>IF(OR(AS142=0,AS142&gt;=#REF!),0,FV($O$1,AP143,-#REF!,0,1))</f>
        <v>#REF!</v>
      </c>
      <c r="AU143" s="5">
        <f t="shared" ref="AU143:AU206" si="28">X150</f>
        <v>36878.348360442462</v>
      </c>
    </row>
    <row r="144" spans="12:47" hidden="1" x14ac:dyDescent="0.25">
      <c r="L144" s="2" t="str">
        <f t="shared" si="27"/>
        <v/>
      </c>
      <c r="M144" s="45">
        <f t="shared" si="26"/>
        <v>10</v>
      </c>
      <c r="N144" s="36">
        <v>124</v>
      </c>
      <c r="O144" s="91">
        <f t="shared" si="20"/>
        <v>33610.912189263807</v>
      </c>
      <c r="P144" s="38">
        <f t="shared" si="21"/>
        <v>57579.237174010952</v>
      </c>
      <c r="W144" s="26">
        <f t="shared" si="22"/>
        <v>22782.158346845899</v>
      </c>
      <c r="X144" s="5">
        <f t="shared" si="23"/>
        <v>39028.375409814958</v>
      </c>
      <c r="Y144" s="5"/>
      <c r="AA144" s="63">
        <f t="shared" si="24"/>
        <v>33610.912189263807</v>
      </c>
      <c r="AB144" s="5">
        <f t="shared" si="25"/>
        <v>57579.237174010952</v>
      </c>
      <c r="AP144" s="3">
        <v>131</v>
      </c>
      <c r="AR144" s="14">
        <f t="shared" si="19"/>
        <v>0</v>
      </c>
      <c r="AS144" s="17" t="e">
        <f>IF(OR(AS143=0,AS143&gt;=#REF!),0,FV($O$1,AP144,-#REF!,0,1))</f>
        <v>#REF!</v>
      </c>
      <c r="AU144" s="5">
        <f t="shared" si="28"/>
        <v>36531.706561335006</v>
      </c>
    </row>
    <row r="145" spans="12:47" hidden="1" x14ac:dyDescent="0.25">
      <c r="L145" s="2" t="str">
        <f t="shared" si="27"/>
        <v/>
      </c>
      <c r="M145" s="45">
        <f t="shared" si="26"/>
        <v>10</v>
      </c>
      <c r="N145" s="36">
        <v>125</v>
      </c>
      <c r="O145" s="91">
        <f t="shared" si="20"/>
        <v>33610.912189263807</v>
      </c>
      <c r="P145" s="38">
        <f t="shared" si="21"/>
        <v>57038.015257829815</v>
      </c>
      <c r="W145" s="26">
        <f t="shared" si="22"/>
        <v>22782.158346845899</v>
      </c>
      <c r="X145" s="5">
        <f t="shared" si="23"/>
        <v>38661.524212031618</v>
      </c>
      <c r="Y145" s="5"/>
      <c r="AA145" s="63">
        <f t="shared" si="24"/>
        <v>33610.912189263807</v>
      </c>
      <c r="AB145" s="5">
        <f t="shared" si="25"/>
        <v>57038.015257829815</v>
      </c>
      <c r="AP145" s="3">
        <v>132</v>
      </c>
      <c r="AR145" s="14">
        <f t="shared" si="19"/>
        <v>0</v>
      </c>
      <c r="AS145" s="17" t="e">
        <f>IF(OR(AS144=0,AS144&gt;=#REF!),0,FV($O$1,AP145,-#REF!,0,1))</f>
        <v>#REF!</v>
      </c>
      <c r="AU145" s="5">
        <f t="shared" si="28"/>
        <v>36188.323057195477</v>
      </c>
    </row>
    <row r="146" spans="12:47" hidden="1" x14ac:dyDescent="0.25">
      <c r="L146" s="2" t="str">
        <f t="shared" si="27"/>
        <v/>
      </c>
      <c r="M146" s="45">
        <f t="shared" si="26"/>
        <v>10</v>
      </c>
      <c r="N146" s="36">
        <v>126</v>
      </c>
      <c r="O146" s="91">
        <f t="shared" si="20"/>
        <v>33610.912189263807</v>
      </c>
      <c r="P146" s="38">
        <f t="shared" si="21"/>
        <v>56501.88061228532</v>
      </c>
      <c r="W146" s="26">
        <f t="shared" si="22"/>
        <v>22782.158346845899</v>
      </c>
      <c r="X146" s="5">
        <f t="shared" si="23"/>
        <v>38298.121269521587</v>
      </c>
      <c r="Y146" s="5"/>
      <c r="AA146" s="63">
        <f t="shared" si="24"/>
        <v>33610.912189263807</v>
      </c>
      <c r="AB146" s="5">
        <f t="shared" si="25"/>
        <v>56501.88061228532</v>
      </c>
      <c r="AP146" s="3">
        <v>133</v>
      </c>
      <c r="AR146" s="14">
        <f t="shared" ref="AR146:AR209" si="29">IF(AP146&lt;=$X$3,FV($O$1,AP146,-$X$5,0,1),0)</f>
        <v>0</v>
      </c>
      <c r="AS146" s="17" t="e">
        <f>IF(OR(AS145=0,AS145&gt;=#REF!),0,FV($O$1,AP146,-#REF!,0,1))</f>
        <v>#REF!</v>
      </c>
      <c r="AU146" s="5">
        <f t="shared" si="28"/>
        <v>35848.167221347801</v>
      </c>
    </row>
    <row r="147" spans="12:47" hidden="1" x14ac:dyDescent="0.25">
      <c r="L147" s="2" t="str">
        <f t="shared" si="27"/>
        <v/>
      </c>
      <c r="M147" s="45">
        <f t="shared" si="26"/>
        <v>10</v>
      </c>
      <c r="N147" s="36">
        <v>127</v>
      </c>
      <c r="O147" s="91">
        <f t="shared" si="20"/>
        <v>33610.912189263807</v>
      </c>
      <c r="P147" s="38">
        <f t="shared" si="21"/>
        <v>55970.785419057895</v>
      </c>
      <c r="W147" s="26">
        <f t="shared" si="22"/>
        <v>22782.158346845899</v>
      </c>
      <c r="X147" s="5">
        <f t="shared" si="23"/>
        <v>37938.134170057478</v>
      </c>
      <c r="Y147" s="5"/>
      <c r="AA147" s="63">
        <f t="shared" si="24"/>
        <v>33610.912189263807</v>
      </c>
      <c r="AB147" s="5">
        <f t="shared" si="25"/>
        <v>55970.785419057895</v>
      </c>
      <c r="AP147" s="3">
        <v>134</v>
      </c>
      <c r="AR147" s="14">
        <f t="shared" si="29"/>
        <v>0</v>
      </c>
      <c r="AS147" s="17" t="e">
        <f>IF(OR(AS146=0,AS146&gt;=#REF!),0,FV($O$1,AP147,-#REF!,0,1))</f>
        <v>#REF!</v>
      </c>
      <c r="AU147" s="5">
        <f t="shared" si="28"/>
        <v>35511.208714994464</v>
      </c>
    </row>
    <row r="148" spans="12:47" hidden="1" x14ac:dyDescent="0.25">
      <c r="L148" s="2" t="str">
        <f t="shared" si="27"/>
        <v/>
      </c>
      <c r="M148" s="45">
        <f t="shared" si="26"/>
        <v>10</v>
      </c>
      <c r="N148" s="36">
        <v>128</v>
      </c>
      <c r="O148" s="91">
        <f t="shared" si="20"/>
        <v>33610.912189263807</v>
      </c>
      <c r="P148" s="38">
        <f t="shared" si="21"/>
        <v>55444.682309301192</v>
      </c>
      <c r="W148" s="26">
        <f t="shared" si="22"/>
        <v>22782.158346845899</v>
      </c>
      <c r="X148" s="5">
        <f t="shared" si="23"/>
        <v>37581.530806073984</v>
      </c>
      <c r="Y148" s="5"/>
      <c r="AA148" s="63">
        <f t="shared" si="24"/>
        <v>33610.912189263807</v>
      </c>
      <c r="AB148" s="5">
        <f t="shared" si="25"/>
        <v>55444.682309301192</v>
      </c>
      <c r="AP148" s="3">
        <v>135</v>
      </c>
      <c r="AR148" s="14">
        <f t="shared" si="29"/>
        <v>0</v>
      </c>
      <c r="AS148" s="17" t="e">
        <f>IF(OR(AS147=0,AS147&gt;=#REF!),0,FV($O$1,AP148,-#REF!,0,1))</f>
        <v>#REF!</v>
      </c>
      <c r="AU148" s="5">
        <f t="shared" si="28"/>
        <v>35177.417484510559</v>
      </c>
    </row>
    <row r="149" spans="12:47" hidden="1" x14ac:dyDescent="0.25">
      <c r="L149" s="2" t="str">
        <f t="shared" si="27"/>
        <v/>
      </c>
      <c r="M149" s="45">
        <f t="shared" si="26"/>
        <v>10</v>
      </c>
      <c r="N149" s="36">
        <v>129</v>
      </c>
      <c r="O149" s="91">
        <f t="shared" ref="O149:O212" si="30">IF(N149&lt;=InvMonths,SU_Amt*(1+GRate)^M149,0)</f>
        <v>33610.912189263807</v>
      </c>
      <c r="P149" s="38">
        <f t="shared" ref="P149:P212" si="31">FV(SIPRate,InvMonths-N149+1,0,-O149,1)</f>
        <v>54923.524359417148</v>
      </c>
      <c r="W149" s="26">
        <f t="shared" ref="W149:W212" si="32">IF(N149&lt;=InvMonths,$X$18,0)</f>
        <v>22782.158346845899</v>
      </c>
      <c r="X149" s="5">
        <f t="shared" ref="X149:X212" si="33">FV(SIPRate,(InvMonths-N149+1),0,-W149,1)</f>
        <v>37228.279371804121</v>
      </c>
      <c r="Y149" s="5"/>
      <c r="AA149" s="63">
        <f t="shared" ref="AA149:AA212" si="34">IF(N149&lt;=InvMonths,$AB$18*(1+$C$32)^M149,0)</f>
        <v>33610.912189263807</v>
      </c>
      <c r="AB149" s="5">
        <f t="shared" ref="AB149:AB212" si="35">FV(SIPRate,(InvMonths-N149+1),0,-AA149,1)</f>
        <v>54923.524359417148</v>
      </c>
      <c r="AP149" s="3">
        <v>136</v>
      </c>
      <c r="AR149" s="14">
        <f t="shared" si="29"/>
        <v>0</v>
      </c>
      <c r="AS149" s="17" t="e">
        <f>IF(OR(AS148=0,AS148&gt;=#REF!),0,FV($O$1,AP149,-#REF!,0,1))</f>
        <v>#REF!</v>
      </c>
      <c r="AU149" s="5">
        <f t="shared" si="28"/>
        <v>34846.763758763314</v>
      </c>
    </row>
    <row r="150" spans="12:47" hidden="1" x14ac:dyDescent="0.25">
      <c r="L150" s="2" t="str">
        <f t="shared" si="27"/>
        <v/>
      </c>
      <c r="M150" s="45">
        <f t="shared" ref="M150:M213" si="36">IF(MOD(N150,12)=0,(N150/12)-1,QUOTIENT(N150,12))</f>
        <v>10</v>
      </c>
      <c r="N150" s="36">
        <v>130</v>
      </c>
      <c r="O150" s="91">
        <f t="shared" si="30"/>
        <v>33610.912189263807</v>
      </c>
      <c r="P150" s="38">
        <f t="shared" si="31"/>
        <v>54407.265086870866</v>
      </c>
      <c r="W150" s="26">
        <f t="shared" si="32"/>
        <v>22782.158346845899</v>
      </c>
      <c r="X150" s="5">
        <f t="shared" si="33"/>
        <v>36878.348360442462</v>
      </c>
      <c r="Y150" s="5"/>
      <c r="AA150" s="63">
        <f t="shared" si="34"/>
        <v>33610.912189263807</v>
      </c>
      <c r="AB150" s="5">
        <f t="shared" si="35"/>
        <v>54407.265086870866</v>
      </c>
      <c r="AP150" s="3">
        <v>137</v>
      </c>
      <c r="AR150" s="14">
        <f t="shared" si="29"/>
        <v>0</v>
      </c>
      <c r="AS150" s="17" t="e">
        <f>IF(OR(AS149=0,AS149&gt;=#REF!),0,FV($O$1,AP150,-#REF!,0,1))</f>
        <v>#REF!</v>
      </c>
      <c r="AU150" s="5">
        <f t="shared" si="28"/>
        <v>34519.218046456765</v>
      </c>
    </row>
    <row r="151" spans="12:47" hidden="1" x14ac:dyDescent="0.25">
      <c r="L151" s="2" t="str">
        <f t="shared" si="27"/>
        <v/>
      </c>
      <c r="M151" s="45">
        <f t="shared" si="36"/>
        <v>10</v>
      </c>
      <c r="N151" s="36">
        <v>131</v>
      </c>
      <c r="O151" s="91">
        <f t="shared" si="30"/>
        <v>33610.912189263807</v>
      </c>
      <c r="P151" s="38">
        <f t="shared" si="31"/>
        <v>53895.858446044746</v>
      </c>
      <c r="W151" s="26">
        <f t="shared" si="32"/>
        <v>22782.158346845899</v>
      </c>
      <c r="X151" s="5">
        <f t="shared" si="33"/>
        <v>36531.706561335006</v>
      </c>
      <c r="Y151" s="5"/>
      <c r="AA151" s="63">
        <f t="shared" si="34"/>
        <v>33610.912189263807</v>
      </c>
      <c r="AB151" s="5">
        <f t="shared" si="35"/>
        <v>53895.858446044746</v>
      </c>
      <c r="AP151" s="3">
        <v>138</v>
      </c>
      <c r="AR151" s="14">
        <f t="shared" si="29"/>
        <v>0</v>
      </c>
      <c r="AS151" s="17" t="e">
        <f>IF(OR(AS150=0,AS150&gt;=#REF!),0,FV($O$1,AP151,-#REF!,0,1))</f>
        <v>#REF!</v>
      </c>
      <c r="AU151" s="5">
        <f t="shared" si="28"/>
        <v>34194.75113350137</v>
      </c>
    </row>
    <row r="152" spans="12:47" hidden="1" x14ac:dyDescent="0.25">
      <c r="L152" s="2" t="str">
        <f t="shared" si="27"/>
        <v/>
      </c>
      <c r="M152" s="45">
        <f t="shared" si="36"/>
        <v>10</v>
      </c>
      <c r="N152" s="36">
        <v>132</v>
      </c>
      <c r="O152" s="91">
        <f t="shared" si="30"/>
        <v>33610.912189263807</v>
      </c>
      <c r="P152" s="38">
        <f t="shared" si="31"/>
        <v>53389.258824131692</v>
      </c>
      <c r="W152" s="26">
        <f t="shared" si="32"/>
        <v>22782.158346845899</v>
      </c>
      <c r="X152" s="5">
        <f t="shared" si="33"/>
        <v>36188.323057195477</v>
      </c>
      <c r="Y152" s="5"/>
      <c r="AA152" s="63">
        <f t="shared" si="34"/>
        <v>33610.912189263807</v>
      </c>
      <c r="AB152" s="5">
        <f t="shared" si="35"/>
        <v>53389.258824131692</v>
      </c>
      <c r="AP152" s="3">
        <v>139</v>
      </c>
      <c r="AR152" s="14">
        <f t="shared" si="29"/>
        <v>0</v>
      </c>
      <c r="AS152" s="17" t="e">
        <f>IF(OR(AS151=0,AS151&gt;=#REF!),0,FV($O$1,AP152,-#REF!,0,1))</f>
        <v>#REF!</v>
      </c>
      <c r="AU152" s="5">
        <f t="shared" si="28"/>
        <v>33873.334080408415</v>
      </c>
    </row>
    <row r="153" spans="12:47" hidden="1" x14ac:dyDescent="0.25">
      <c r="L153" s="2" t="str">
        <f t="shared" si="27"/>
        <v/>
      </c>
      <c r="M153" s="45">
        <f t="shared" si="36"/>
        <v>11</v>
      </c>
      <c r="N153" s="36">
        <v>133</v>
      </c>
      <c r="O153" s="91">
        <f t="shared" si="30"/>
        <v>36972.00340819019</v>
      </c>
      <c r="P153" s="38">
        <f t="shared" si="31"/>
        <v>58176.163140773548</v>
      </c>
      <c r="W153" s="26">
        <f t="shared" si="32"/>
        <v>22782.158346845899</v>
      </c>
      <c r="X153" s="5">
        <f t="shared" si="33"/>
        <v>35848.167221347801</v>
      </c>
      <c r="Y153" s="5"/>
      <c r="AA153" s="63">
        <f t="shared" si="34"/>
        <v>36972.00340819019</v>
      </c>
      <c r="AB153" s="5">
        <f t="shared" si="35"/>
        <v>58176.163140773548</v>
      </c>
      <c r="AP153" s="3">
        <v>140</v>
      </c>
      <c r="AR153" s="14">
        <f t="shared" si="29"/>
        <v>0</v>
      </c>
      <c r="AS153" s="17" t="e">
        <f>IF(OR(AS152=0,AS152&gt;=#REF!),0,FV($O$1,AP153,-#REF!,0,1))</f>
        <v>#REF!</v>
      </c>
      <c r="AU153" s="5">
        <f t="shared" si="28"/>
        <v>33554.938219708871</v>
      </c>
    </row>
    <row r="154" spans="12:47" hidden="1" x14ac:dyDescent="0.25">
      <c r="L154" s="2" t="str">
        <f t="shared" si="27"/>
        <v/>
      </c>
      <c r="M154" s="45">
        <f t="shared" si="36"/>
        <v>11</v>
      </c>
      <c r="N154" s="36">
        <v>134</v>
      </c>
      <c r="O154" s="91">
        <f t="shared" si="30"/>
        <v>36972.00340819019</v>
      </c>
      <c r="P154" s="38">
        <f t="shared" si="31"/>
        <v>57629.330358047358</v>
      </c>
      <c r="W154" s="26">
        <f t="shared" si="32"/>
        <v>22782.158346845899</v>
      </c>
      <c r="X154" s="5">
        <f t="shared" si="33"/>
        <v>35511.208714994464</v>
      </c>
      <c r="Y154" s="5"/>
      <c r="AA154" s="63">
        <f t="shared" si="34"/>
        <v>36972.00340819019</v>
      </c>
      <c r="AB154" s="5">
        <f t="shared" si="35"/>
        <v>57629.330358047358</v>
      </c>
      <c r="AP154" s="3">
        <v>141</v>
      </c>
      <c r="AR154" s="14">
        <f t="shared" si="29"/>
        <v>0</v>
      </c>
      <c r="AS154" s="17" t="e">
        <f>IF(OR(AS153=0,AS153&gt;=#REF!),0,FV($O$1,AP154,-#REF!,0,1))</f>
        <v>#REF!</v>
      </c>
      <c r="AU154" s="5">
        <f t="shared" si="28"/>
        <v>33239.5351533965</v>
      </c>
    </row>
    <row r="155" spans="12:47" hidden="1" x14ac:dyDescent="0.25">
      <c r="L155" s="2" t="str">
        <f t="shared" si="27"/>
        <v/>
      </c>
      <c r="M155" s="45">
        <f t="shared" si="36"/>
        <v>11</v>
      </c>
      <c r="N155" s="36">
        <v>135</v>
      </c>
      <c r="O155" s="91">
        <f t="shared" si="30"/>
        <v>36972.00340819019</v>
      </c>
      <c r="P155" s="38">
        <f t="shared" si="31"/>
        <v>57087.637585870507</v>
      </c>
      <c r="W155" s="26">
        <f t="shared" si="32"/>
        <v>22782.158346845899</v>
      </c>
      <c r="X155" s="5">
        <f t="shared" si="33"/>
        <v>35177.417484510559</v>
      </c>
      <c r="Y155" s="5"/>
      <c r="AA155" s="63">
        <f t="shared" si="34"/>
        <v>36972.00340819019</v>
      </c>
      <c r="AB155" s="5">
        <f t="shared" si="35"/>
        <v>57087.637585870507</v>
      </c>
      <c r="AP155" s="3">
        <v>142</v>
      </c>
      <c r="AR155" s="14">
        <f t="shared" si="29"/>
        <v>0</v>
      </c>
      <c r="AS155" s="17" t="e">
        <f>IF(OR(AS154=0,AS154&gt;=#REF!),0,FV($O$1,AP155,-#REF!,0,1))</f>
        <v>#REF!</v>
      </c>
      <c r="AU155" s="5">
        <f t="shared" si="28"/>
        <v>32927.096750395016</v>
      </c>
    </row>
    <row r="156" spans="12:47" hidden="1" x14ac:dyDescent="0.25">
      <c r="L156" s="2" t="str">
        <f t="shared" si="27"/>
        <v/>
      </c>
      <c r="M156" s="45">
        <f t="shared" si="36"/>
        <v>11</v>
      </c>
      <c r="N156" s="36">
        <v>136</v>
      </c>
      <c r="O156" s="91">
        <f t="shared" si="30"/>
        <v>36972.00340819019</v>
      </c>
      <c r="P156" s="38">
        <f t="shared" si="31"/>
        <v>56551.036510189268</v>
      </c>
      <c r="W156" s="26">
        <f t="shared" si="32"/>
        <v>22782.158346845899</v>
      </c>
      <c r="X156" s="5">
        <f t="shared" si="33"/>
        <v>34846.763758763314</v>
      </c>
      <c r="Y156" s="5"/>
      <c r="AA156" s="63">
        <f t="shared" si="34"/>
        <v>36972.00340819019</v>
      </c>
      <c r="AB156" s="5">
        <f t="shared" si="35"/>
        <v>56551.036510189268</v>
      </c>
      <c r="AP156" s="3">
        <v>143</v>
      </c>
      <c r="AR156" s="14">
        <f t="shared" si="29"/>
        <v>0</v>
      </c>
      <c r="AS156" s="17" t="e">
        <f>IF(OR(AS155=0,AS155&gt;=#REF!),0,FV($O$1,AP156,-#REF!,0,1))</f>
        <v>#REF!</v>
      </c>
      <c r="AU156" s="5">
        <f t="shared" si="28"/>
        <v>32617.595144049072</v>
      </c>
    </row>
    <row r="157" spans="12:47" hidden="1" x14ac:dyDescent="0.25">
      <c r="L157" s="2" t="str">
        <f t="shared" si="27"/>
        <v/>
      </c>
      <c r="M157" s="45">
        <f t="shared" si="36"/>
        <v>11</v>
      </c>
      <c r="N157" s="36">
        <v>137</v>
      </c>
      <c r="O157" s="91">
        <f t="shared" si="30"/>
        <v>36972.00340819019</v>
      </c>
      <c r="P157" s="38">
        <f t="shared" si="31"/>
        <v>56019.479271082797</v>
      </c>
      <c r="W157" s="26">
        <f t="shared" si="32"/>
        <v>22782.158346845899</v>
      </c>
      <c r="X157" s="5">
        <f t="shared" si="33"/>
        <v>34519.218046456765</v>
      </c>
      <c r="Y157" s="5"/>
      <c r="AA157" s="63">
        <f t="shared" si="34"/>
        <v>36972.00340819019</v>
      </c>
      <c r="AB157" s="5">
        <f t="shared" si="35"/>
        <v>56019.479271082797</v>
      </c>
      <c r="AP157" s="3">
        <v>144</v>
      </c>
      <c r="AR157" s="14">
        <f t="shared" si="29"/>
        <v>0</v>
      </c>
      <c r="AS157" s="17" t="e">
        <f>IF(OR(AS156=0,AS156&gt;=#REF!),0,FV($O$1,AP157,-#REF!,0,1))</f>
        <v>#REF!</v>
      </c>
      <c r="AU157" s="5">
        <f t="shared" si="28"/>
        <v>32311.002729638778</v>
      </c>
    </row>
    <row r="158" spans="12:47" hidden="1" x14ac:dyDescent="0.25">
      <c r="L158" s="2" t="str">
        <f t="shared" ref="L158:L221" si="37">IF(MOD(M158,12)=0,M158/12,"")</f>
        <v/>
      </c>
      <c r="M158" s="45">
        <f t="shared" si="36"/>
        <v>11</v>
      </c>
      <c r="N158" s="36">
        <v>138</v>
      </c>
      <c r="O158" s="91">
        <f t="shared" si="30"/>
        <v>36972.00340819019</v>
      </c>
      <c r="P158" s="38">
        <f t="shared" si="31"/>
        <v>55492.918458494445</v>
      </c>
      <c r="W158" s="26">
        <f t="shared" si="32"/>
        <v>22782.158346845899</v>
      </c>
      <c r="X158" s="5">
        <f t="shared" si="33"/>
        <v>34194.75113350137</v>
      </c>
      <c r="Y158" s="5"/>
      <c r="AA158" s="63">
        <f t="shared" si="34"/>
        <v>36972.00340819019</v>
      </c>
      <c r="AB158" s="5">
        <f t="shared" si="35"/>
        <v>55492.918458494445</v>
      </c>
      <c r="AP158" s="3">
        <v>145</v>
      </c>
      <c r="AR158" s="14">
        <f t="shared" si="29"/>
        <v>0</v>
      </c>
      <c r="AS158" s="17" t="e">
        <f>IF(OR(AS157=0,AS157&gt;=#REF!),0,FV($O$1,AP158,-#REF!,0,1))</f>
        <v>#REF!</v>
      </c>
      <c r="AU158" s="5">
        <f t="shared" si="28"/>
        <v>32007.292161917641</v>
      </c>
    </row>
    <row r="159" spans="12:47" hidden="1" x14ac:dyDescent="0.25">
      <c r="L159" s="2" t="str">
        <f t="shared" si="37"/>
        <v/>
      </c>
      <c r="M159" s="45">
        <f t="shared" si="36"/>
        <v>11</v>
      </c>
      <c r="N159" s="36">
        <v>139</v>
      </c>
      <c r="O159" s="91">
        <f t="shared" si="30"/>
        <v>36972.00340819019</v>
      </c>
      <c r="P159" s="38">
        <f t="shared" si="31"/>
        <v>54971.307108003224</v>
      </c>
      <c r="W159" s="26">
        <f t="shared" si="32"/>
        <v>22782.158346845899</v>
      </c>
      <c r="X159" s="5">
        <f t="shared" si="33"/>
        <v>33873.334080408415</v>
      </c>
      <c r="Y159" s="5"/>
      <c r="AA159" s="63">
        <f t="shared" si="34"/>
        <v>36972.00340819019</v>
      </c>
      <c r="AB159" s="5">
        <f t="shared" si="35"/>
        <v>54971.307108003224</v>
      </c>
      <c r="AP159" s="3">
        <v>146</v>
      </c>
      <c r="AR159" s="14">
        <f t="shared" si="29"/>
        <v>0</v>
      </c>
      <c r="AS159" s="17" t="e">
        <f>IF(OR(AS158=0,AS158&gt;=#REF!),0,FV($O$1,AP159,-#REF!,0,1))</f>
        <v>#REF!</v>
      </c>
      <c r="AU159" s="5">
        <f t="shared" si="28"/>
        <v>31706.436352673583</v>
      </c>
    </row>
    <row r="160" spans="12:47" hidden="1" x14ac:dyDescent="0.25">
      <c r="L160" s="2" t="str">
        <f t="shared" si="37"/>
        <v/>
      </c>
      <c r="M160" s="45">
        <f t="shared" si="36"/>
        <v>11</v>
      </c>
      <c r="N160" s="36">
        <v>140</v>
      </c>
      <c r="O160" s="91">
        <f t="shared" si="30"/>
        <v>36972.00340819019</v>
      </c>
      <c r="P160" s="38">
        <f t="shared" si="31"/>
        <v>54454.598696635025</v>
      </c>
      <c r="W160" s="26">
        <f t="shared" si="32"/>
        <v>22782.158346845899</v>
      </c>
      <c r="X160" s="5">
        <f t="shared" si="33"/>
        <v>33554.938219708871</v>
      </c>
      <c r="Y160" s="5"/>
      <c r="AA160" s="63">
        <f t="shared" si="34"/>
        <v>36972.00340819019</v>
      </c>
      <c r="AB160" s="5">
        <f t="shared" si="35"/>
        <v>54454.598696635025</v>
      </c>
      <c r="AP160" s="3">
        <v>147</v>
      </c>
      <c r="AR160" s="14">
        <f t="shared" si="29"/>
        <v>0</v>
      </c>
      <c r="AS160" s="17" t="e">
        <f>IF(OR(AS159=0,AS159&gt;=#REF!),0,FV($O$1,AP160,-#REF!,0,1))</f>
        <v>#REF!</v>
      </c>
      <c r="AU160" s="5">
        <f t="shared" si="28"/>
        <v>31408.408468312955</v>
      </c>
    </row>
    <row r="161" spans="12:47" hidden="1" x14ac:dyDescent="0.25">
      <c r="L161" s="2" t="str">
        <f t="shared" si="37"/>
        <v/>
      </c>
      <c r="M161" s="45">
        <f t="shared" si="36"/>
        <v>11</v>
      </c>
      <c r="N161" s="36">
        <v>141</v>
      </c>
      <c r="O161" s="91">
        <f t="shared" si="30"/>
        <v>36972.00340819019</v>
      </c>
      <c r="P161" s="38">
        <f t="shared" si="31"/>
        <v>53942.74713871321</v>
      </c>
      <c r="W161" s="26">
        <f t="shared" si="32"/>
        <v>22782.158346845899</v>
      </c>
      <c r="X161" s="5">
        <f t="shared" si="33"/>
        <v>33239.5351533965</v>
      </c>
      <c r="Y161" s="5"/>
      <c r="AA161" s="63">
        <f t="shared" si="34"/>
        <v>36972.00340819019</v>
      </c>
      <c r="AB161" s="5">
        <f t="shared" si="35"/>
        <v>53942.74713871321</v>
      </c>
      <c r="AP161" s="3">
        <v>148</v>
      </c>
      <c r="AR161" s="14">
        <f t="shared" si="29"/>
        <v>0</v>
      </c>
      <c r="AS161" s="17" t="e">
        <f>IF(OR(AS160=0,AS160&gt;=#REF!),0,FV($O$1,AP161,-#REF!,0,1))</f>
        <v>#REF!</v>
      </c>
      <c r="AU161" s="5">
        <f t="shared" si="28"/>
        <v>31113.181927467202</v>
      </c>
    </row>
    <row r="162" spans="12:47" hidden="1" x14ac:dyDescent="0.25">
      <c r="L162" s="2" t="str">
        <f t="shared" si="37"/>
        <v/>
      </c>
      <c r="M162" s="45">
        <f t="shared" si="36"/>
        <v>11</v>
      </c>
      <c r="N162" s="36">
        <v>142</v>
      </c>
      <c r="O162" s="91">
        <f t="shared" si="30"/>
        <v>36972.00340819019</v>
      </c>
      <c r="P162" s="38">
        <f t="shared" si="31"/>
        <v>53435.706781748115</v>
      </c>
      <c r="W162" s="26">
        <f t="shared" si="32"/>
        <v>22782.158346845899</v>
      </c>
      <c r="X162" s="5">
        <f t="shared" si="33"/>
        <v>32927.096750395016</v>
      </c>
      <c r="Y162" s="5"/>
      <c r="AA162" s="63">
        <f t="shared" si="34"/>
        <v>36972.00340819019</v>
      </c>
      <c r="AB162" s="5">
        <f t="shared" si="35"/>
        <v>53435.706781748115</v>
      </c>
      <c r="AP162" s="3">
        <v>149</v>
      </c>
      <c r="AR162" s="14">
        <f t="shared" si="29"/>
        <v>0</v>
      </c>
      <c r="AS162" s="17" t="e">
        <f>IF(OR(AS161=0,AS161&gt;=#REF!),0,FV($O$1,AP162,-#REF!,0,1))</f>
        <v>#REF!</v>
      </c>
      <c r="AU162" s="5">
        <f t="shared" si="28"/>
        <v>30820.730398622072</v>
      </c>
    </row>
    <row r="163" spans="12:47" hidden="1" x14ac:dyDescent="0.25">
      <c r="L163" s="2" t="str">
        <f t="shared" si="37"/>
        <v/>
      </c>
      <c r="M163" s="45">
        <f t="shared" si="36"/>
        <v>11</v>
      </c>
      <c r="N163" s="36">
        <v>143</v>
      </c>
      <c r="O163" s="91">
        <f t="shared" si="30"/>
        <v>36972.00340819019</v>
      </c>
      <c r="P163" s="38">
        <f t="shared" si="31"/>
        <v>52933.432402365317</v>
      </c>
      <c r="W163" s="26">
        <f t="shared" si="32"/>
        <v>22782.158346845899</v>
      </c>
      <c r="X163" s="5">
        <f t="shared" si="33"/>
        <v>32617.595144049072</v>
      </c>
      <c r="Y163" s="5"/>
      <c r="AA163" s="63">
        <f t="shared" si="34"/>
        <v>36972.00340819019</v>
      </c>
      <c r="AB163" s="5">
        <f t="shared" si="35"/>
        <v>52933.432402365317</v>
      </c>
      <c r="AP163" s="3">
        <v>150</v>
      </c>
      <c r="AR163" s="14">
        <f t="shared" si="29"/>
        <v>0</v>
      </c>
      <c r="AS163" s="17" t="e">
        <f>IF(OR(AS162=0,AS162&gt;=#REF!),0,FV($O$1,AP163,-#REF!,0,1))</f>
        <v>#REF!</v>
      </c>
      <c r="AU163" s="5">
        <f t="shared" si="28"/>
        <v>30531.027797769038</v>
      </c>
    </row>
    <row r="164" spans="12:47" hidden="1" x14ac:dyDescent="0.25">
      <c r="L164" s="2" t="str">
        <f t="shared" si="37"/>
        <v/>
      </c>
      <c r="M164" s="45">
        <f t="shared" si="36"/>
        <v>11</v>
      </c>
      <c r="N164" s="36">
        <v>144</v>
      </c>
      <c r="O164" s="91">
        <f t="shared" si="30"/>
        <v>36972.00340819019</v>
      </c>
      <c r="P164" s="38">
        <f t="shared" si="31"/>
        <v>52435.879202272139</v>
      </c>
      <c r="W164" s="26">
        <f t="shared" si="32"/>
        <v>22782.158346845899</v>
      </c>
      <c r="X164" s="5">
        <f t="shared" si="33"/>
        <v>32311.002729638778</v>
      </c>
      <c r="Y164" s="5"/>
      <c r="AA164" s="63">
        <f t="shared" si="34"/>
        <v>36972.00340819019</v>
      </c>
      <c r="AB164" s="5">
        <f t="shared" si="35"/>
        <v>52435.879202272139</v>
      </c>
      <c r="AP164" s="3">
        <v>151</v>
      </c>
      <c r="AR164" s="14">
        <f t="shared" si="29"/>
        <v>0</v>
      </c>
      <c r="AS164" s="17" t="e">
        <f>IF(OR(AS163=0,AS163&gt;=#REF!),0,FV($O$1,AP164,-#REF!,0,1))</f>
        <v>#REF!</v>
      </c>
      <c r="AU164" s="5">
        <f t="shared" si="28"/>
        <v>30244.048286078905</v>
      </c>
    </row>
    <row r="165" spans="12:47" hidden="1" x14ac:dyDescent="0.25">
      <c r="L165" s="2">
        <f t="shared" si="37"/>
        <v>1</v>
      </c>
      <c r="M165" s="45">
        <f t="shared" si="36"/>
        <v>12</v>
      </c>
      <c r="N165" s="36">
        <v>145</v>
      </c>
      <c r="O165" s="91">
        <f t="shared" si="30"/>
        <v>40669.203749009212</v>
      </c>
      <c r="P165" s="38">
        <f t="shared" si="31"/>
        <v>57137.303084688239</v>
      </c>
      <c r="W165" s="26">
        <f t="shared" si="32"/>
        <v>22782.158346845899</v>
      </c>
      <c r="X165" s="5">
        <f t="shared" si="33"/>
        <v>32007.292161917641</v>
      </c>
      <c r="Y165" s="5"/>
      <c r="AA165" s="63">
        <f t="shared" si="34"/>
        <v>40669.203749009212</v>
      </c>
      <c r="AB165" s="5">
        <f t="shared" si="35"/>
        <v>57137.303084688239</v>
      </c>
      <c r="AP165" s="3">
        <v>152</v>
      </c>
      <c r="AR165" s="14">
        <f t="shared" si="29"/>
        <v>0</v>
      </c>
      <c r="AS165" s="17" t="e">
        <f>IF(OR(AS164=0,AS164&gt;=#REF!),0,FV($O$1,AP165,-#REF!,0,1))</f>
        <v>#REF!</v>
      </c>
      <c r="AU165" s="5">
        <f t="shared" si="28"/>
        <v>29959.766267597162</v>
      </c>
    </row>
    <row r="166" spans="12:47" hidden="1" x14ac:dyDescent="0.25">
      <c r="L166" s="2">
        <f t="shared" si="37"/>
        <v>1</v>
      </c>
      <c r="M166" s="45">
        <f t="shared" si="36"/>
        <v>12</v>
      </c>
      <c r="N166" s="36">
        <v>146</v>
      </c>
      <c r="O166" s="91">
        <f t="shared" si="30"/>
        <v>40669.203749009212</v>
      </c>
      <c r="P166" s="38">
        <f t="shared" si="31"/>
        <v>56600.235173082154</v>
      </c>
      <c r="W166" s="26">
        <f t="shared" si="32"/>
        <v>22782.158346845899</v>
      </c>
      <c r="X166" s="5">
        <f t="shared" si="33"/>
        <v>31706.436352673583</v>
      </c>
      <c r="Y166" s="5"/>
      <c r="AA166" s="63">
        <f t="shared" si="34"/>
        <v>40669.203749009212</v>
      </c>
      <c r="AB166" s="5">
        <f t="shared" si="35"/>
        <v>56600.235173082154</v>
      </c>
      <c r="AP166" s="3">
        <v>153</v>
      </c>
      <c r="AR166" s="14">
        <f t="shared" si="29"/>
        <v>0</v>
      </c>
      <c r="AS166" s="17" t="e">
        <f>IF(OR(AS165=0,AS165&gt;=#REF!),0,FV($O$1,AP166,-#REF!,0,1))</f>
        <v>#REF!</v>
      </c>
      <c r="AU166" s="5">
        <f t="shared" si="28"/>
        <v>29678.15638696112</v>
      </c>
    </row>
    <row r="167" spans="12:47" hidden="1" x14ac:dyDescent="0.25">
      <c r="L167" s="2">
        <f t="shared" si="37"/>
        <v>1</v>
      </c>
      <c r="M167" s="45">
        <f t="shared" si="36"/>
        <v>12</v>
      </c>
      <c r="N167" s="36">
        <v>147</v>
      </c>
      <c r="O167" s="91">
        <f t="shared" si="30"/>
        <v>40669.203749009212</v>
      </c>
      <c r="P167" s="38">
        <f t="shared" si="31"/>
        <v>56068.215486122746</v>
      </c>
      <c r="W167" s="26">
        <f t="shared" si="32"/>
        <v>22782.158346845899</v>
      </c>
      <c r="X167" s="5">
        <f t="shared" si="33"/>
        <v>31408.408468312955</v>
      </c>
      <c r="Y167" s="5"/>
      <c r="AA167" s="63">
        <f t="shared" si="34"/>
        <v>40669.203749009212</v>
      </c>
      <c r="AB167" s="5">
        <f t="shared" si="35"/>
        <v>56068.215486122746</v>
      </c>
      <c r="AP167" s="3">
        <v>154</v>
      </c>
      <c r="AR167" s="14">
        <f t="shared" si="29"/>
        <v>0</v>
      </c>
      <c r="AS167" s="17" t="e">
        <f>IF(OR(AS166=0,AS166&gt;=#REF!),0,FV($O$1,AP167,-#REF!,0,1))</f>
        <v>#REF!</v>
      </c>
      <c r="AU167" s="5">
        <f t="shared" si="28"/>
        <v>29399.19352713837</v>
      </c>
    </row>
    <row r="168" spans="12:47" hidden="1" x14ac:dyDescent="0.25">
      <c r="L168" s="2">
        <f t="shared" si="37"/>
        <v>1</v>
      </c>
      <c r="M168" s="45">
        <f t="shared" si="36"/>
        <v>12</v>
      </c>
      <c r="N168" s="36">
        <v>148</v>
      </c>
      <c r="O168" s="91">
        <f t="shared" si="30"/>
        <v>40669.203749009212</v>
      </c>
      <c r="P168" s="38">
        <f t="shared" si="31"/>
        <v>55541.196572507244</v>
      </c>
      <c r="W168" s="26">
        <f t="shared" si="32"/>
        <v>22782.158346845899</v>
      </c>
      <c r="X168" s="5">
        <f t="shared" si="33"/>
        <v>31113.181927467202</v>
      </c>
      <c r="Y168" s="5"/>
      <c r="AA168" s="63">
        <f t="shared" si="34"/>
        <v>40669.203749009212</v>
      </c>
      <c r="AB168" s="5">
        <f t="shared" si="35"/>
        <v>55541.196572507244</v>
      </c>
      <c r="AP168" s="3">
        <v>155</v>
      </c>
      <c r="AR168" s="14">
        <f t="shared" si="29"/>
        <v>0</v>
      </c>
      <c r="AS168" s="17" t="e">
        <f>IF(OR(AS167=0,AS167&gt;=#REF!),0,FV($O$1,AP168,-#REF!,0,1))</f>
        <v>#REF!</v>
      </c>
      <c r="AU168" s="5">
        <f t="shared" si="28"/>
        <v>29122.852807186631</v>
      </c>
    </row>
    <row r="169" spans="12:47" hidden="1" x14ac:dyDescent="0.25">
      <c r="L169" s="2">
        <f t="shared" si="37"/>
        <v>1</v>
      </c>
      <c r="M169" s="45">
        <f t="shared" si="36"/>
        <v>12</v>
      </c>
      <c r="N169" s="36">
        <v>149</v>
      </c>
      <c r="O169" s="91">
        <f t="shared" si="30"/>
        <v>40669.203749009212</v>
      </c>
      <c r="P169" s="38">
        <f t="shared" si="31"/>
        <v>55019.13142695625</v>
      </c>
      <c r="W169" s="26">
        <f t="shared" si="32"/>
        <v>22782.158346845899</v>
      </c>
      <c r="X169" s="5">
        <f t="shared" si="33"/>
        <v>30820.730398622072</v>
      </c>
      <c r="Y169" s="5"/>
      <c r="AA169" s="63">
        <f t="shared" si="34"/>
        <v>40669.203749009212</v>
      </c>
      <c r="AB169" s="5">
        <f t="shared" si="35"/>
        <v>55019.13142695625</v>
      </c>
      <c r="AP169" s="3">
        <v>156</v>
      </c>
      <c r="AR169" s="14">
        <f t="shared" si="29"/>
        <v>0</v>
      </c>
      <c r="AS169" s="17" t="e">
        <f>IF(OR(AS168=0,AS168&gt;=#REF!),0,FV($O$1,AP169,-#REF!,0,1))</f>
        <v>#REF!</v>
      </c>
      <c r="AU169" s="5">
        <f t="shared" si="28"/>
        <v>28849.109580034579</v>
      </c>
    </row>
    <row r="170" spans="12:47" hidden="1" x14ac:dyDescent="0.25">
      <c r="L170" s="2">
        <f t="shared" si="37"/>
        <v>1</v>
      </c>
      <c r="M170" s="45">
        <f t="shared" si="36"/>
        <v>12</v>
      </c>
      <c r="N170" s="36">
        <v>150</v>
      </c>
      <c r="O170" s="91">
        <f t="shared" si="30"/>
        <v>40669.203749009212</v>
      </c>
      <c r="P170" s="38">
        <f t="shared" si="31"/>
        <v>54501.973486021256</v>
      </c>
      <c r="W170" s="26">
        <f t="shared" si="32"/>
        <v>22782.158346845899</v>
      </c>
      <c r="X170" s="5">
        <f t="shared" si="33"/>
        <v>30531.027797769038</v>
      </c>
      <c r="Y170" s="5"/>
      <c r="AA170" s="63">
        <f t="shared" si="34"/>
        <v>40669.203749009212</v>
      </c>
      <c r="AB170" s="5">
        <f t="shared" si="35"/>
        <v>54501.973486021256</v>
      </c>
      <c r="AP170" s="3">
        <v>157</v>
      </c>
      <c r="AR170" s="14">
        <f t="shared" si="29"/>
        <v>0</v>
      </c>
      <c r="AS170" s="17" t="e">
        <f>IF(OR(AS169=0,AS169&gt;=#REF!),0,FV($O$1,AP170,-#REF!,0,1))</f>
        <v>#REF!</v>
      </c>
      <c r="AU170" s="5">
        <f t="shared" si="28"/>
        <v>28577.939430283564</v>
      </c>
    </row>
    <row r="171" spans="12:47" hidden="1" x14ac:dyDescent="0.25">
      <c r="L171" s="2">
        <f t="shared" si="37"/>
        <v>1</v>
      </c>
      <c r="M171" s="45">
        <f t="shared" si="36"/>
        <v>12</v>
      </c>
      <c r="N171" s="36">
        <v>151</v>
      </c>
      <c r="O171" s="91">
        <f t="shared" si="30"/>
        <v>40669.203749009212</v>
      </c>
      <c r="P171" s="38">
        <f t="shared" si="31"/>
        <v>53989.676623931671</v>
      </c>
      <c r="W171" s="26">
        <f t="shared" si="32"/>
        <v>22782.158346845899</v>
      </c>
      <c r="X171" s="5">
        <f t="shared" si="33"/>
        <v>30244.048286078905</v>
      </c>
      <c r="Y171" s="5"/>
      <c r="AA171" s="63">
        <f t="shared" si="34"/>
        <v>40669.203749009212</v>
      </c>
      <c r="AB171" s="5">
        <f t="shared" si="35"/>
        <v>53989.676623931671</v>
      </c>
      <c r="AP171" s="3">
        <v>158</v>
      </c>
      <c r="AR171" s="14">
        <f t="shared" si="29"/>
        <v>0</v>
      </c>
      <c r="AS171" s="17" t="e">
        <f>IF(OR(AS170=0,AS170&gt;=#REF!),0,FV($O$1,AP171,-#REF!,0,1))</f>
        <v>#REF!</v>
      </c>
      <c r="AU171" s="5">
        <f t="shared" si="28"/>
        <v>28309.318172029947</v>
      </c>
    </row>
    <row r="172" spans="12:47" hidden="1" x14ac:dyDescent="0.25">
      <c r="L172" s="2">
        <f t="shared" si="37"/>
        <v>1</v>
      </c>
      <c r="M172" s="45">
        <f t="shared" si="36"/>
        <v>12</v>
      </c>
      <c r="N172" s="36">
        <v>152</v>
      </c>
      <c r="O172" s="91">
        <f t="shared" si="30"/>
        <v>40669.203749009212</v>
      </c>
      <c r="P172" s="38">
        <f t="shared" si="31"/>
        <v>53482.195148480765</v>
      </c>
      <c r="W172" s="26">
        <f t="shared" si="32"/>
        <v>22782.158346845899</v>
      </c>
      <c r="X172" s="5">
        <f t="shared" si="33"/>
        <v>29959.766267597162</v>
      </c>
      <c r="Y172" s="5"/>
      <c r="AA172" s="63">
        <f t="shared" si="34"/>
        <v>40669.203749009212</v>
      </c>
      <c r="AB172" s="5">
        <f t="shared" si="35"/>
        <v>53482.195148480765</v>
      </c>
      <c r="AP172" s="3">
        <v>159</v>
      </c>
      <c r="AR172" s="14">
        <f t="shared" si="29"/>
        <v>0</v>
      </c>
      <c r="AS172" s="17" t="e">
        <f>IF(OR(AS171=0,AS171&gt;=#REF!),0,FV($O$1,AP172,-#REF!,0,1))</f>
        <v>#REF!</v>
      </c>
      <c r="AU172" s="5">
        <f t="shared" si="28"/>
        <v>28043.221846707958</v>
      </c>
    </row>
    <row r="173" spans="12:47" hidden="1" x14ac:dyDescent="0.25">
      <c r="L173" s="2">
        <f t="shared" si="37"/>
        <v>1</v>
      </c>
      <c r="M173" s="45">
        <f t="shared" si="36"/>
        <v>12</v>
      </c>
      <c r="N173" s="36">
        <v>153</v>
      </c>
      <c r="O173" s="91">
        <f t="shared" si="30"/>
        <v>40669.203749009212</v>
      </c>
      <c r="P173" s="38">
        <f t="shared" si="31"/>
        <v>52979.483796950408</v>
      </c>
      <c r="W173" s="26">
        <f t="shared" si="32"/>
        <v>22782.158346845899</v>
      </c>
      <c r="X173" s="5">
        <f t="shared" si="33"/>
        <v>29678.15638696112</v>
      </c>
      <c r="Y173" s="5"/>
      <c r="AA173" s="63">
        <f t="shared" si="34"/>
        <v>40669.203749009212</v>
      </c>
      <c r="AB173" s="5">
        <f t="shared" si="35"/>
        <v>52979.483796950408</v>
      </c>
      <c r="AP173" s="3">
        <v>160</v>
      </c>
      <c r="AR173" s="14">
        <f t="shared" si="29"/>
        <v>0</v>
      </c>
      <c r="AS173" s="17" t="e">
        <f>IF(OR(AS172=0,AS172&gt;=#REF!),0,FV($O$1,AP173,-#REF!,0,1))</f>
        <v>#REF!</v>
      </c>
      <c r="AU173" s="5">
        <f t="shared" si="28"/>
        <v>27779.626720952827</v>
      </c>
    </row>
    <row r="174" spans="12:47" hidden="1" x14ac:dyDescent="0.25">
      <c r="L174" s="2">
        <f t="shared" si="37"/>
        <v>1</v>
      </c>
      <c r="M174" s="45">
        <f t="shared" si="36"/>
        <v>12</v>
      </c>
      <c r="N174" s="36">
        <v>154</v>
      </c>
      <c r="O174" s="91">
        <f t="shared" si="30"/>
        <v>40669.203749009212</v>
      </c>
      <c r="P174" s="38">
        <f t="shared" si="31"/>
        <v>52481.497732073971</v>
      </c>
      <c r="W174" s="26">
        <f t="shared" si="32"/>
        <v>22782.158346845899</v>
      </c>
      <c r="X174" s="5">
        <f t="shared" si="33"/>
        <v>29399.19352713837</v>
      </c>
      <c r="Y174" s="5"/>
      <c r="AA174" s="63">
        <f t="shared" si="34"/>
        <v>40669.203749009212</v>
      </c>
      <c r="AB174" s="5">
        <f t="shared" si="35"/>
        <v>52481.497732073971</v>
      </c>
      <c r="AP174" s="3">
        <v>161</v>
      </c>
      <c r="AR174" s="14">
        <f t="shared" si="29"/>
        <v>0</v>
      </c>
      <c r="AS174" s="17" t="e">
        <f>IF(OR(AS173=0,AS173&gt;=#REF!),0,FV($O$1,AP174,-#REF!,0,1))</f>
        <v>#REF!</v>
      </c>
      <c r="AU174" s="5">
        <f t="shared" si="28"/>
        <v>27518.509284483953</v>
      </c>
    </row>
    <row r="175" spans="12:47" hidden="1" x14ac:dyDescent="0.25">
      <c r="L175" s="2">
        <f t="shared" si="37"/>
        <v>1</v>
      </c>
      <c r="M175" s="45">
        <f t="shared" si="36"/>
        <v>12</v>
      </c>
      <c r="N175" s="36">
        <v>155</v>
      </c>
      <c r="O175" s="91">
        <f t="shared" si="30"/>
        <v>40669.203749009212</v>
      </c>
      <c r="P175" s="38">
        <f t="shared" si="31"/>
        <v>51988.192538037292</v>
      </c>
      <c r="W175" s="26">
        <f t="shared" si="32"/>
        <v>22782.158346845899</v>
      </c>
      <c r="X175" s="5">
        <f t="shared" si="33"/>
        <v>29122.852807186631</v>
      </c>
      <c r="Y175" s="5"/>
      <c r="AA175" s="63">
        <f t="shared" si="34"/>
        <v>40669.203749009212</v>
      </c>
      <c r="AB175" s="5">
        <f t="shared" si="35"/>
        <v>51988.192538037292</v>
      </c>
      <c r="AP175" s="3">
        <v>162</v>
      </c>
      <c r="AR175" s="14">
        <f t="shared" si="29"/>
        <v>0</v>
      </c>
      <c r="AS175" s="17" t="e">
        <f>IF(OR(AS174=0,AS174&gt;=#REF!),0,FV($O$1,AP175,-#REF!,0,1))</f>
        <v>#REF!</v>
      </c>
      <c r="AU175" s="5">
        <f t="shared" si="28"/>
        <v>27259.846248008034</v>
      </c>
    </row>
    <row r="176" spans="12:47" hidden="1" x14ac:dyDescent="0.25">
      <c r="L176" s="2">
        <f t="shared" si="37"/>
        <v>1</v>
      </c>
      <c r="M176" s="45">
        <f t="shared" si="36"/>
        <v>12</v>
      </c>
      <c r="N176" s="36">
        <v>156</v>
      </c>
      <c r="O176" s="91">
        <f t="shared" si="30"/>
        <v>40669.203749009212</v>
      </c>
      <c r="P176" s="38">
        <f t="shared" si="31"/>
        <v>51499.524216517202</v>
      </c>
      <c r="W176" s="26">
        <f t="shared" si="32"/>
        <v>22782.158346845899</v>
      </c>
      <c r="X176" s="5">
        <f t="shared" si="33"/>
        <v>28849.109580034579</v>
      </c>
      <c r="Y176" s="5"/>
      <c r="AA176" s="63">
        <f t="shared" si="34"/>
        <v>40669.203749009212</v>
      </c>
      <c r="AB176" s="5">
        <f t="shared" si="35"/>
        <v>51499.524216517202</v>
      </c>
      <c r="AP176" s="3">
        <v>163</v>
      </c>
      <c r="AR176" s="14">
        <f t="shared" si="29"/>
        <v>0</v>
      </c>
      <c r="AS176" s="17" t="e">
        <f>IF(OR(AS175=0,AS175&gt;=#REF!),0,FV($O$1,AP176,-#REF!,0,1))</f>
        <v>#REF!</v>
      </c>
      <c r="AU176" s="5">
        <f t="shared" si="28"/>
        <v>27003.614541141844</v>
      </c>
    </row>
    <row r="177" spans="12:47" hidden="1" x14ac:dyDescent="0.25">
      <c r="L177" s="2" t="str">
        <f t="shared" si="37"/>
        <v/>
      </c>
      <c r="M177" s="45">
        <f t="shared" si="36"/>
        <v>13</v>
      </c>
      <c r="N177" s="36">
        <v>157</v>
      </c>
      <c r="O177" s="91">
        <f t="shared" si="30"/>
        <v>44736.124123910136</v>
      </c>
      <c r="P177" s="38">
        <f t="shared" si="31"/>
        <v>56116.994101033015</v>
      </c>
      <c r="W177" s="26">
        <f t="shared" si="32"/>
        <v>22782.158346845899</v>
      </c>
      <c r="X177" s="5">
        <f t="shared" si="33"/>
        <v>28577.939430283564</v>
      </c>
      <c r="Y177" s="5"/>
      <c r="AA177" s="63">
        <f t="shared" si="34"/>
        <v>44736.124123910136</v>
      </c>
      <c r="AB177" s="5">
        <f t="shared" si="35"/>
        <v>56116.994101033015</v>
      </c>
      <c r="AP177" s="3">
        <v>164</v>
      </c>
      <c r="AR177" s="14">
        <f t="shared" si="29"/>
        <v>0</v>
      </c>
      <c r="AS177" s="17" t="e">
        <f>IF(OR(AS176=0,AS176&gt;=#REF!),0,FV($O$1,AP177,-#REF!,0,1))</f>
        <v>#REF!</v>
      </c>
      <c r="AU177" s="5">
        <f t="shared" si="28"/>
        <v>26749.79131035458</v>
      </c>
    </row>
    <row r="178" spans="12:47" hidden="1" x14ac:dyDescent="0.25">
      <c r="L178" s="2" t="str">
        <f t="shared" si="37"/>
        <v/>
      </c>
      <c r="M178" s="45">
        <f t="shared" si="36"/>
        <v>13</v>
      </c>
      <c r="N178" s="36">
        <v>158</v>
      </c>
      <c r="O178" s="91">
        <f t="shared" si="30"/>
        <v>44736.124123910136</v>
      </c>
      <c r="P178" s="38">
        <f t="shared" si="31"/>
        <v>55589.516687848474</v>
      </c>
      <c r="W178" s="26">
        <f t="shared" si="32"/>
        <v>22782.158346845899</v>
      </c>
      <c r="X178" s="5">
        <f t="shared" si="33"/>
        <v>28309.318172029947</v>
      </c>
      <c r="Y178" s="5"/>
      <c r="AA178" s="63">
        <f t="shared" si="34"/>
        <v>44736.124123910136</v>
      </c>
      <c r="AB178" s="5">
        <f t="shared" si="35"/>
        <v>55589.516687848474</v>
      </c>
      <c r="AP178" s="3">
        <v>165</v>
      </c>
      <c r="AR178" s="14">
        <f t="shared" si="29"/>
        <v>0</v>
      </c>
      <c r="AS178" s="17" t="e">
        <f>IF(OR(AS177=0,AS177&gt;=#REF!),0,FV($O$1,AP178,-#REF!,0,1))</f>
        <v>#REF!</v>
      </c>
      <c r="AU178" s="5">
        <f t="shared" si="28"/>
        <v>26498.353916929536</v>
      </c>
    </row>
    <row r="179" spans="12:47" hidden="1" x14ac:dyDescent="0.25">
      <c r="L179" s="2" t="str">
        <f t="shared" si="37"/>
        <v/>
      </c>
      <c r="M179" s="45">
        <f t="shared" si="36"/>
        <v>13</v>
      </c>
      <c r="N179" s="36">
        <v>159</v>
      </c>
      <c r="O179" s="91">
        <f t="shared" si="30"/>
        <v>44736.124123910136</v>
      </c>
      <c r="P179" s="38">
        <f t="shared" si="31"/>
        <v>55066.997352441918</v>
      </c>
      <c r="W179" s="26">
        <f t="shared" si="32"/>
        <v>22782.158346845899</v>
      </c>
      <c r="X179" s="5">
        <f t="shared" si="33"/>
        <v>28043.221846707958</v>
      </c>
      <c r="Y179" s="5"/>
      <c r="AA179" s="63">
        <f t="shared" si="34"/>
        <v>44736.124123910136</v>
      </c>
      <c r="AB179" s="5">
        <f t="shared" si="35"/>
        <v>55066.997352441918</v>
      </c>
      <c r="AP179" s="3">
        <v>166</v>
      </c>
      <c r="AR179" s="14">
        <f t="shared" si="29"/>
        <v>0</v>
      </c>
      <c r="AS179" s="17" t="e">
        <f>IF(OR(AS178=0,AS178&gt;=#REF!),0,FV($O$1,AP179,-#REF!,0,1))</f>
        <v>#REF!</v>
      </c>
      <c r="AU179" s="5">
        <f t="shared" si="28"/>
        <v>26249.279934944941</v>
      </c>
    </row>
    <row r="180" spans="12:47" hidden="1" x14ac:dyDescent="0.25">
      <c r="L180" s="2" t="str">
        <f t="shared" si="37"/>
        <v/>
      </c>
      <c r="M180" s="45">
        <f t="shared" si="36"/>
        <v>13</v>
      </c>
      <c r="N180" s="36">
        <v>160</v>
      </c>
      <c r="O180" s="91">
        <f t="shared" si="30"/>
        <v>44736.124123910136</v>
      </c>
      <c r="P180" s="38">
        <f t="shared" si="31"/>
        <v>54549.389490855268</v>
      </c>
      <c r="W180" s="26">
        <f t="shared" si="32"/>
        <v>22782.158346845899</v>
      </c>
      <c r="X180" s="5">
        <f t="shared" si="33"/>
        <v>27779.626720952827</v>
      </c>
      <c r="Y180" s="5"/>
      <c r="AA180" s="63">
        <f t="shared" si="34"/>
        <v>44736.124123910136</v>
      </c>
      <c r="AB180" s="5">
        <f t="shared" si="35"/>
        <v>54549.389490855268</v>
      </c>
      <c r="AP180" s="3">
        <v>167</v>
      </c>
      <c r="AR180" s="14">
        <f t="shared" si="29"/>
        <v>0</v>
      </c>
      <c r="AS180" s="17" t="e">
        <f>IF(OR(AS179=0,AS179&gt;=#REF!),0,FV($O$1,AP180,-#REF!,0,1))</f>
        <v>#REF!</v>
      </c>
      <c r="AU180" s="5">
        <f t="shared" si="28"/>
        <v>26002.547149273745</v>
      </c>
    </row>
    <row r="181" spans="12:47" hidden="1" x14ac:dyDescent="0.25">
      <c r="L181" s="2" t="str">
        <f t="shared" si="37"/>
        <v/>
      </c>
      <c r="M181" s="45">
        <f t="shared" si="36"/>
        <v>13</v>
      </c>
      <c r="N181" s="36">
        <v>161</v>
      </c>
      <c r="O181" s="91">
        <f t="shared" si="30"/>
        <v>44736.124123910136</v>
      </c>
      <c r="P181" s="38">
        <f t="shared" si="31"/>
        <v>54036.646937189107</v>
      </c>
      <c r="W181" s="26">
        <f t="shared" si="32"/>
        <v>22782.158346845899</v>
      </c>
      <c r="X181" s="5">
        <f t="shared" si="33"/>
        <v>27518.509284483953</v>
      </c>
      <c r="Y181" s="5"/>
      <c r="AA181" s="63">
        <f t="shared" si="34"/>
        <v>44736.124123910136</v>
      </c>
      <c r="AB181" s="5">
        <f t="shared" si="35"/>
        <v>54036.646937189107</v>
      </c>
      <c r="AP181" s="3">
        <v>168</v>
      </c>
      <c r="AR181" s="14">
        <f t="shared" si="29"/>
        <v>0</v>
      </c>
      <c r="AS181" s="17" t="e">
        <f>IF(OR(AS180=0,AS180&gt;=#REF!),0,FV($O$1,AP181,-#REF!,0,1))</f>
        <v>#REF!</v>
      </c>
      <c r="AU181" s="5">
        <f t="shared" si="28"/>
        <v>25758.133553602274</v>
      </c>
    </row>
    <row r="182" spans="12:47" hidden="1" x14ac:dyDescent="0.25">
      <c r="L182" s="2" t="str">
        <f t="shared" si="37"/>
        <v/>
      </c>
      <c r="M182" s="45">
        <f t="shared" si="36"/>
        <v>13</v>
      </c>
      <c r="N182" s="36">
        <v>162</v>
      </c>
      <c r="O182" s="91">
        <f t="shared" si="30"/>
        <v>44736.124123910136</v>
      </c>
      <c r="P182" s="38">
        <f t="shared" si="31"/>
        <v>53528.723959485098</v>
      </c>
      <c r="W182" s="26">
        <f t="shared" si="32"/>
        <v>22782.158346845899</v>
      </c>
      <c r="X182" s="5">
        <f t="shared" si="33"/>
        <v>27259.846248008034</v>
      </c>
      <c r="Y182" s="5"/>
      <c r="AA182" s="63">
        <f t="shared" si="34"/>
        <v>44736.124123910136</v>
      </c>
      <c r="AB182" s="5">
        <f t="shared" si="35"/>
        <v>53528.723959485098</v>
      </c>
      <c r="AP182" s="3">
        <v>169</v>
      </c>
      <c r="AR182" s="14">
        <f t="shared" si="29"/>
        <v>0</v>
      </c>
      <c r="AS182" s="17" t="e">
        <f>IF(OR(AS181=0,AS181&gt;=#REF!),0,FV($O$1,AP182,-#REF!,0,1))</f>
        <v>#REF!</v>
      </c>
      <c r="AU182" s="5">
        <f t="shared" si="28"/>
        <v>25516.017348467441</v>
      </c>
    </row>
    <row r="183" spans="12:47" hidden="1" x14ac:dyDescent="0.25">
      <c r="L183" s="2" t="str">
        <f t="shared" si="37"/>
        <v/>
      </c>
      <c r="M183" s="45">
        <f t="shared" si="36"/>
        <v>13</v>
      </c>
      <c r="N183" s="36">
        <v>163</v>
      </c>
      <c r="O183" s="91">
        <f t="shared" si="30"/>
        <v>44736.124123910136</v>
      </c>
      <c r="P183" s="38">
        <f t="shared" si="31"/>
        <v>53025.575255647105</v>
      </c>
      <c r="W183" s="26">
        <f t="shared" si="32"/>
        <v>22782.158346845899</v>
      </c>
      <c r="X183" s="5">
        <f t="shared" si="33"/>
        <v>27003.614541141844</v>
      </c>
      <c r="Y183" s="5"/>
      <c r="AA183" s="63">
        <f t="shared" si="34"/>
        <v>44736.124123910136</v>
      </c>
      <c r="AB183" s="5">
        <f t="shared" si="35"/>
        <v>53025.575255647105</v>
      </c>
      <c r="AP183" s="3">
        <v>170</v>
      </c>
      <c r="AR183" s="14">
        <f t="shared" si="29"/>
        <v>0</v>
      </c>
      <c r="AS183" s="17" t="e">
        <f>IF(OR(AS182=0,AS182&gt;=#REF!),0,FV($O$1,AP183,-#REF!,0,1))</f>
        <v>#REF!</v>
      </c>
      <c r="AU183" s="5">
        <f t="shared" si="28"/>
        <v>25276.176939312423</v>
      </c>
    </row>
    <row r="184" spans="12:47" hidden="1" x14ac:dyDescent="0.25">
      <c r="L184" s="2" t="str">
        <f t="shared" si="37"/>
        <v/>
      </c>
      <c r="M184" s="45">
        <f t="shared" si="36"/>
        <v>13</v>
      </c>
      <c r="N184" s="36">
        <v>164</v>
      </c>
      <c r="O184" s="91">
        <f t="shared" si="30"/>
        <v>44736.124123910136</v>
      </c>
      <c r="P184" s="38">
        <f t="shared" si="31"/>
        <v>52527.155949400694</v>
      </c>
      <c r="W184" s="26">
        <f t="shared" si="32"/>
        <v>22782.158346845899</v>
      </c>
      <c r="X184" s="5">
        <f t="shared" si="33"/>
        <v>26749.79131035458</v>
      </c>
      <c r="Y184" s="5"/>
      <c r="AA184" s="63">
        <f t="shared" si="34"/>
        <v>44736.124123910136</v>
      </c>
      <c r="AB184" s="5">
        <f t="shared" si="35"/>
        <v>52527.155949400694</v>
      </c>
      <c r="AP184" s="3">
        <v>171</v>
      </c>
      <c r="AR184" s="14">
        <f t="shared" si="29"/>
        <v>0</v>
      </c>
      <c r="AS184" s="17" t="e">
        <f>IF(OR(AS183=0,AS183&gt;=#REF!),0,FV($O$1,AP184,-#REF!,0,1))</f>
        <v>#REF!</v>
      </c>
      <c r="AU184" s="5">
        <f t="shared" si="28"/>
        <v>25038.590934560645</v>
      </c>
    </row>
    <row r="185" spans="12:47" hidden="1" x14ac:dyDescent="0.25">
      <c r="L185" s="2" t="str">
        <f t="shared" si="37"/>
        <v/>
      </c>
      <c r="M185" s="45">
        <f t="shared" si="36"/>
        <v>13</v>
      </c>
      <c r="N185" s="36">
        <v>165</v>
      </c>
      <c r="O185" s="91">
        <f t="shared" si="30"/>
        <v>44736.124123910136</v>
      </c>
      <c r="P185" s="38">
        <f t="shared" si="31"/>
        <v>52033.421586290518</v>
      </c>
      <c r="W185" s="26">
        <f t="shared" si="32"/>
        <v>22782.158346845899</v>
      </c>
      <c r="X185" s="5">
        <f t="shared" si="33"/>
        <v>26498.353916929536</v>
      </c>
      <c r="Y185" s="5"/>
      <c r="AA185" s="63">
        <f t="shared" si="34"/>
        <v>44736.124123910136</v>
      </c>
      <c r="AB185" s="5">
        <f t="shared" si="35"/>
        <v>52033.421586290518</v>
      </c>
      <c r="AP185" s="3">
        <v>172</v>
      </c>
      <c r="AR185" s="14">
        <f t="shared" si="29"/>
        <v>0</v>
      </c>
      <c r="AS185" s="17" t="e">
        <f>IF(OR(AS184=0,AS184&gt;=#REF!),0,FV($O$1,AP185,-#REF!,0,1))</f>
        <v>#REF!</v>
      </c>
      <c r="AU185" s="5">
        <f t="shared" si="28"/>
        <v>24803.238143707847</v>
      </c>
    </row>
    <row r="186" spans="12:47" hidden="1" x14ac:dyDescent="0.25">
      <c r="L186" s="2" t="str">
        <f t="shared" si="37"/>
        <v/>
      </c>
      <c r="M186" s="45">
        <f t="shared" si="36"/>
        <v>13</v>
      </c>
      <c r="N186" s="36">
        <v>166</v>
      </c>
      <c r="O186" s="91">
        <f t="shared" si="30"/>
        <v>44736.124123910136</v>
      </c>
      <c r="P186" s="38">
        <f t="shared" si="31"/>
        <v>51544.328129715446</v>
      </c>
      <c r="W186" s="26">
        <f t="shared" si="32"/>
        <v>22782.158346845899</v>
      </c>
      <c r="X186" s="5">
        <f t="shared" si="33"/>
        <v>26249.279934944941</v>
      </c>
      <c r="Y186" s="5"/>
      <c r="AA186" s="63">
        <f t="shared" si="34"/>
        <v>44736.124123910136</v>
      </c>
      <c r="AB186" s="5">
        <f t="shared" si="35"/>
        <v>51544.328129715446</v>
      </c>
      <c r="AP186" s="3">
        <v>173</v>
      </c>
      <c r="AR186" s="14">
        <f t="shared" si="29"/>
        <v>0</v>
      </c>
      <c r="AS186" s="17" t="e">
        <f>IF(OR(AS185=0,AS185&gt;=#REF!),0,FV($O$1,AP186,-#REF!,0,1))</f>
        <v>#REF!</v>
      </c>
      <c r="AU186" s="5">
        <f t="shared" si="28"/>
        <v>24570.097575432072</v>
      </c>
    </row>
    <row r="187" spans="12:47" hidden="1" x14ac:dyDescent="0.25">
      <c r="L187" s="2" t="str">
        <f t="shared" si="37"/>
        <v/>
      </c>
      <c r="M187" s="45">
        <f t="shared" si="36"/>
        <v>13</v>
      </c>
      <c r="N187" s="36">
        <v>167</v>
      </c>
      <c r="O187" s="91">
        <f t="shared" si="30"/>
        <v>44736.124123910136</v>
      </c>
      <c r="P187" s="38">
        <f t="shared" si="31"/>
        <v>51059.831957000853</v>
      </c>
      <c r="W187" s="26">
        <f t="shared" si="32"/>
        <v>22782.158346845899</v>
      </c>
      <c r="X187" s="5">
        <f t="shared" si="33"/>
        <v>26002.547149273745</v>
      </c>
      <c r="Y187" s="5"/>
      <c r="AA187" s="63">
        <f t="shared" si="34"/>
        <v>44736.124123910136</v>
      </c>
      <c r="AB187" s="5">
        <f t="shared" si="35"/>
        <v>51059.831957000853</v>
      </c>
      <c r="AP187" s="3">
        <v>174</v>
      </c>
      <c r="AR187" s="14">
        <f t="shared" si="29"/>
        <v>0</v>
      </c>
      <c r="AS187" s="17" t="e">
        <f>IF(OR(AS186=0,AS186&gt;=#REF!),0,FV($O$1,AP187,-#REF!,0,1))</f>
        <v>#REF!</v>
      </c>
      <c r="AU187" s="5">
        <f t="shared" si="28"/>
        <v>24339.148435721432</v>
      </c>
    </row>
    <row r="188" spans="12:47" hidden="1" x14ac:dyDescent="0.25">
      <c r="L188" s="2" t="str">
        <f t="shared" si="37"/>
        <v/>
      </c>
      <c r="M188" s="45">
        <f t="shared" si="36"/>
        <v>13</v>
      </c>
      <c r="N188" s="36">
        <v>168</v>
      </c>
      <c r="O188" s="91">
        <f t="shared" si="30"/>
        <v>44736.124123910136</v>
      </c>
      <c r="P188" s="38">
        <f t="shared" si="31"/>
        <v>50579.889855507914</v>
      </c>
      <c r="W188" s="26">
        <f t="shared" si="32"/>
        <v>22782.158346845899</v>
      </c>
      <c r="X188" s="5">
        <f t="shared" si="33"/>
        <v>25758.133553602274</v>
      </c>
      <c r="Y188" s="5"/>
      <c r="AA188" s="63">
        <f t="shared" si="34"/>
        <v>44736.124123910136</v>
      </c>
      <c r="AB188" s="5">
        <f t="shared" si="35"/>
        <v>50579.889855507914</v>
      </c>
      <c r="AP188" s="3">
        <v>175</v>
      </c>
      <c r="AR188" s="14">
        <f t="shared" si="29"/>
        <v>0</v>
      </c>
      <c r="AS188" s="17" t="e">
        <f>IF(OR(AS187=0,AS187&gt;=#REF!),0,FV($O$1,AP188,-#REF!,0,1))</f>
        <v>#REF!</v>
      </c>
      <c r="AU188" s="5">
        <f t="shared" si="28"/>
        <v>24110.370126019476</v>
      </c>
    </row>
    <row r="189" spans="12:47" hidden="1" x14ac:dyDescent="0.25">
      <c r="L189" s="2" t="str">
        <f t="shared" si="37"/>
        <v/>
      </c>
      <c r="M189" s="45">
        <f t="shared" si="36"/>
        <v>14</v>
      </c>
      <c r="N189" s="36">
        <v>169</v>
      </c>
      <c r="O189" s="91">
        <f t="shared" si="30"/>
        <v>49209.736536301156</v>
      </c>
      <c r="P189" s="38">
        <f t="shared" si="31"/>
        <v>55114.904920657362</v>
      </c>
      <c r="W189" s="26">
        <f t="shared" si="32"/>
        <v>22782.158346845899</v>
      </c>
      <c r="X189" s="5">
        <f t="shared" si="33"/>
        <v>25516.017348467441</v>
      </c>
      <c r="Y189" s="5"/>
      <c r="AA189" s="63">
        <f t="shared" si="34"/>
        <v>49209.736536301156</v>
      </c>
      <c r="AB189" s="5">
        <f t="shared" si="35"/>
        <v>55114.904920657362</v>
      </c>
      <c r="AP189" s="3">
        <v>176</v>
      </c>
      <c r="AR189" s="14">
        <f t="shared" si="29"/>
        <v>0</v>
      </c>
      <c r="AS189" s="17" t="e">
        <f>IF(OR(AS188=0,AS188&gt;=#REF!),0,FV($O$1,AP189,-#REF!,0,1))</f>
        <v>#REF!</v>
      </c>
      <c r="AU189" s="5">
        <f t="shared" si="28"/>
        <v>23883.742241387987</v>
      </c>
    </row>
    <row r="190" spans="12:47" hidden="1" x14ac:dyDescent="0.25">
      <c r="L190" s="2" t="str">
        <f t="shared" si="37"/>
        <v/>
      </c>
      <c r="M190" s="45">
        <f t="shared" si="36"/>
        <v>14</v>
      </c>
      <c r="N190" s="36">
        <v>170</v>
      </c>
      <c r="O190" s="91">
        <f t="shared" si="30"/>
        <v>49209.736536301156</v>
      </c>
      <c r="P190" s="38">
        <f t="shared" si="31"/>
        <v>54596.846746993979</v>
      </c>
      <c r="W190" s="26">
        <f t="shared" si="32"/>
        <v>22782.158346845899</v>
      </c>
      <c r="X190" s="5">
        <f t="shared" si="33"/>
        <v>25276.176939312423</v>
      </c>
      <c r="Y190" s="5"/>
      <c r="AA190" s="63">
        <f t="shared" si="34"/>
        <v>49209.736536301156</v>
      </c>
      <c r="AB190" s="5">
        <f t="shared" si="35"/>
        <v>54596.846746993979</v>
      </c>
      <c r="AP190" s="3">
        <v>177</v>
      </c>
      <c r="AR190" s="14">
        <f t="shared" si="29"/>
        <v>0</v>
      </c>
      <c r="AS190" s="17" t="e">
        <f>IF(OR(AS189=0,AS189&gt;=#REF!),0,FV($O$1,AP190,-#REF!,0,1))</f>
        <v>#REF!</v>
      </c>
      <c r="AU190" s="5">
        <f t="shared" si="28"/>
        <v>23659.244568687056</v>
      </c>
    </row>
    <row r="191" spans="12:47" hidden="1" x14ac:dyDescent="0.25">
      <c r="L191" s="2" t="str">
        <f t="shared" si="37"/>
        <v/>
      </c>
      <c r="M191" s="45">
        <f t="shared" si="36"/>
        <v>14</v>
      </c>
      <c r="N191" s="36">
        <v>171</v>
      </c>
      <c r="O191" s="91">
        <f t="shared" si="30"/>
        <v>49209.736536301156</v>
      </c>
      <c r="P191" s="38">
        <f t="shared" si="31"/>
        <v>54083.658114005397</v>
      </c>
      <c r="W191" s="26">
        <f t="shared" si="32"/>
        <v>22782.158346845899</v>
      </c>
      <c r="X191" s="5">
        <f t="shared" si="33"/>
        <v>25038.590934560645</v>
      </c>
      <c r="Y191" s="5"/>
      <c r="AA191" s="63">
        <f t="shared" si="34"/>
        <v>49209.736536301156</v>
      </c>
      <c r="AB191" s="5">
        <f t="shared" si="35"/>
        <v>54083.658114005397</v>
      </c>
      <c r="AP191" s="3">
        <v>178</v>
      </c>
      <c r="AR191" s="14">
        <f t="shared" si="29"/>
        <v>0</v>
      </c>
      <c r="AS191" s="17" t="e">
        <f>IF(OR(AS190=0,AS190&gt;=#REF!),0,FV($O$1,AP191,-#REF!,0,1))</f>
        <v>#REF!</v>
      </c>
      <c r="AU191" s="5">
        <f t="shared" si="28"/>
        <v>23436.857084772237</v>
      </c>
    </row>
    <row r="192" spans="12:47" hidden="1" x14ac:dyDescent="0.25">
      <c r="L192" s="2" t="str">
        <f t="shared" si="37"/>
        <v/>
      </c>
      <c r="M192" s="45">
        <f t="shared" si="36"/>
        <v>14</v>
      </c>
      <c r="N192" s="36">
        <v>172</v>
      </c>
      <c r="O192" s="91">
        <f t="shared" si="30"/>
        <v>49209.736536301156</v>
      </c>
      <c r="P192" s="38">
        <f t="shared" si="31"/>
        <v>53575.29324994707</v>
      </c>
      <c r="W192" s="26">
        <f t="shared" si="32"/>
        <v>22782.158346845899</v>
      </c>
      <c r="X192" s="5">
        <f t="shared" si="33"/>
        <v>24803.238143707847</v>
      </c>
      <c r="Y192" s="5"/>
      <c r="AA192" s="63">
        <f t="shared" si="34"/>
        <v>49209.736536301156</v>
      </c>
      <c r="AB192" s="5">
        <f t="shared" si="35"/>
        <v>53575.29324994707</v>
      </c>
      <c r="AP192" s="3">
        <v>179</v>
      </c>
      <c r="AR192" s="14">
        <f t="shared" si="29"/>
        <v>0</v>
      </c>
      <c r="AS192" s="17" t="e">
        <f>IF(OR(AS191=0,AS191&gt;=#REF!),0,FV($O$1,AP192,-#REF!,0,1))</f>
        <v>#REF!</v>
      </c>
      <c r="AU192" s="5">
        <f t="shared" si="28"/>
        <v>23216.559954708671</v>
      </c>
    </row>
    <row r="193" spans="12:47" hidden="1" x14ac:dyDescent="0.25">
      <c r="L193" s="2" t="str">
        <f t="shared" si="37"/>
        <v/>
      </c>
      <c r="M193" s="45">
        <f t="shared" si="36"/>
        <v>14</v>
      </c>
      <c r="N193" s="36">
        <v>173</v>
      </c>
      <c r="O193" s="91">
        <f t="shared" si="30"/>
        <v>49209.736536301156</v>
      </c>
      <c r="P193" s="38">
        <f t="shared" si="31"/>
        <v>53071.706813310673</v>
      </c>
      <c r="W193" s="26">
        <f t="shared" si="32"/>
        <v>22782.158346845899</v>
      </c>
      <c r="X193" s="5">
        <f t="shared" si="33"/>
        <v>24570.097575432072</v>
      </c>
      <c r="Y193" s="5"/>
      <c r="AA193" s="63">
        <f t="shared" si="34"/>
        <v>49209.736536301156</v>
      </c>
      <c r="AB193" s="5">
        <f t="shared" si="35"/>
        <v>53071.706813310673</v>
      </c>
      <c r="AP193" s="3">
        <v>180</v>
      </c>
      <c r="AR193" s="14">
        <f t="shared" si="29"/>
        <v>0</v>
      </c>
      <c r="AS193" s="17" t="e">
        <f>IF(OR(AS192=0,AS192&gt;=#REF!),0,FV($O$1,AP193,-#REF!,0,1))</f>
        <v>#REF!</v>
      </c>
      <c r="AU193" s="5">
        <f t="shared" si="28"/>
        <v>22998.333530002004</v>
      </c>
    </row>
    <row r="194" spans="12:47" hidden="1" x14ac:dyDescent="0.25">
      <c r="L194" s="2" t="str">
        <f t="shared" si="37"/>
        <v/>
      </c>
      <c r="M194" s="45">
        <f t="shared" si="36"/>
        <v>14</v>
      </c>
      <c r="N194" s="36">
        <v>174</v>
      </c>
      <c r="O194" s="91">
        <f t="shared" si="30"/>
        <v>49209.736536301156</v>
      </c>
      <c r="P194" s="38">
        <f t="shared" si="31"/>
        <v>52572.853888779951</v>
      </c>
      <c r="W194" s="26">
        <f t="shared" si="32"/>
        <v>22782.158346845899</v>
      </c>
      <c r="X194" s="5">
        <f t="shared" si="33"/>
        <v>24339.148435721432</v>
      </c>
      <c r="Y194" s="5"/>
      <c r="AA194" s="63">
        <f t="shared" si="34"/>
        <v>49209.736536301156</v>
      </c>
      <c r="AB194" s="5">
        <f t="shared" si="35"/>
        <v>52572.853888779951</v>
      </c>
      <c r="AP194" s="3">
        <v>181</v>
      </c>
      <c r="AR194" s="14">
        <f t="shared" si="29"/>
        <v>0</v>
      </c>
      <c r="AS194" s="17" t="e">
        <f>IF(OR(AS193=0,AS193&gt;=#REF!),0,FV($O$1,AP194,-#REF!,0,1))</f>
        <v>#REF!</v>
      </c>
      <c r="AU194" s="5">
        <f t="shared" si="28"/>
        <v>0</v>
      </c>
    </row>
    <row r="195" spans="12:47" hidden="1" x14ac:dyDescent="0.25">
      <c r="L195" s="2" t="str">
        <f t="shared" si="37"/>
        <v/>
      </c>
      <c r="M195" s="45">
        <f t="shared" si="36"/>
        <v>14</v>
      </c>
      <c r="N195" s="36">
        <v>175</v>
      </c>
      <c r="O195" s="91">
        <f t="shared" si="30"/>
        <v>49209.736536301156</v>
      </c>
      <c r="P195" s="38">
        <f t="shared" si="31"/>
        <v>52078.689983224787</v>
      </c>
      <c r="W195" s="26">
        <f t="shared" si="32"/>
        <v>22782.158346845899</v>
      </c>
      <c r="X195" s="5">
        <f t="shared" si="33"/>
        <v>24110.370126019476</v>
      </c>
      <c r="Y195" s="5"/>
      <c r="AA195" s="63">
        <f t="shared" si="34"/>
        <v>49209.736536301156</v>
      </c>
      <c r="AB195" s="5">
        <f t="shared" si="35"/>
        <v>52078.689983224787</v>
      </c>
      <c r="AP195" s="3">
        <v>182</v>
      </c>
      <c r="AR195" s="14">
        <f t="shared" si="29"/>
        <v>0</v>
      </c>
      <c r="AS195" s="17" t="e">
        <f>IF(OR(AS194=0,AS194&gt;=#REF!),0,FV($O$1,AP195,-#REF!,0,1))</f>
        <v>#REF!</v>
      </c>
      <c r="AU195" s="5">
        <f t="shared" si="28"/>
        <v>0</v>
      </c>
    </row>
    <row r="196" spans="12:47" hidden="1" x14ac:dyDescent="0.25">
      <c r="L196" s="2" t="str">
        <f t="shared" si="37"/>
        <v/>
      </c>
      <c r="M196" s="45">
        <f t="shared" si="36"/>
        <v>14</v>
      </c>
      <c r="N196" s="36">
        <v>176</v>
      </c>
      <c r="O196" s="91">
        <f t="shared" si="30"/>
        <v>49209.736536301156</v>
      </c>
      <c r="P196" s="38">
        <f t="shared" si="31"/>
        <v>51589.171021732764</v>
      </c>
      <c r="W196" s="26">
        <f t="shared" si="32"/>
        <v>22782.158346845899</v>
      </c>
      <c r="X196" s="5">
        <f t="shared" si="33"/>
        <v>23883.742241387987</v>
      </c>
      <c r="Y196" s="5"/>
      <c r="AA196" s="63">
        <f t="shared" si="34"/>
        <v>49209.736536301156</v>
      </c>
      <c r="AB196" s="5">
        <f t="shared" si="35"/>
        <v>51589.171021732764</v>
      </c>
      <c r="AP196" s="3">
        <v>183</v>
      </c>
      <c r="AR196" s="14">
        <f t="shared" si="29"/>
        <v>0</v>
      </c>
      <c r="AS196" s="17" t="e">
        <f>IF(OR(AS195=0,AS195&gt;=#REF!),0,FV($O$1,AP196,-#REF!,0,1))</f>
        <v>#REF!</v>
      </c>
      <c r="AU196" s="5">
        <f t="shared" si="28"/>
        <v>0</v>
      </c>
    </row>
    <row r="197" spans="12:47" hidden="1" x14ac:dyDescent="0.25">
      <c r="L197" s="2" t="str">
        <f t="shared" si="37"/>
        <v/>
      </c>
      <c r="M197" s="45">
        <f t="shared" si="36"/>
        <v>14</v>
      </c>
      <c r="N197" s="36">
        <v>177</v>
      </c>
      <c r="O197" s="91">
        <f t="shared" si="30"/>
        <v>49209.736536301156</v>
      </c>
      <c r="P197" s="38">
        <f t="shared" si="31"/>
        <v>51104.253343678123</v>
      </c>
      <c r="W197" s="26">
        <f t="shared" si="32"/>
        <v>22782.158346845899</v>
      </c>
      <c r="X197" s="5">
        <f t="shared" si="33"/>
        <v>23659.244568687056</v>
      </c>
      <c r="Y197" s="5"/>
      <c r="AA197" s="63">
        <f t="shared" si="34"/>
        <v>49209.736536301156</v>
      </c>
      <c r="AB197" s="5">
        <f t="shared" si="35"/>
        <v>51104.253343678123</v>
      </c>
      <c r="AP197" s="3">
        <v>184</v>
      </c>
      <c r="AR197" s="14">
        <f t="shared" si="29"/>
        <v>0</v>
      </c>
      <c r="AS197" s="17" t="e">
        <f>IF(OR(AS196=0,AS196&gt;=#REF!),0,FV($O$1,AP197,-#REF!,0,1))</f>
        <v>#REF!</v>
      </c>
      <c r="AU197" s="5">
        <f t="shared" si="28"/>
        <v>0</v>
      </c>
    </row>
    <row r="198" spans="12:47" hidden="1" x14ac:dyDescent="0.25">
      <c r="L198" s="2" t="str">
        <f t="shared" si="37"/>
        <v/>
      </c>
      <c r="M198" s="45">
        <f t="shared" si="36"/>
        <v>14</v>
      </c>
      <c r="N198" s="36">
        <v>178</v>
      </c>
      <c r="O198" s="91">
        <f t="shared" si="30"/>
        <v>49209.736536301156</v>
      </c>
      <c r="P198" s="38">
        <f t="shared" si="31"/>
        <v>50623.893698827611</v>
      </c>
      <c r="W198" s="26">
        <f t="shared" si="32"/>
        <v>22782.158346845899</v>
      </c>
      <c r="X198" s="5">
        <f t="shared" si="33"/>
        <v>23436.857084772237</v>
      </c>
      <c r="Y198" s="5"/>
      <c r="AA198" s="63">
        <f t="shared" si="34"/>
        <v>49209.736536301156</v>
      </c>
      <c r="AB198" s="5">
        <f t="shared" si="35"/>
        <v>50623.893698827611</v>
      </c>
      <c r="AP198" s="3">
        <v>185</v>
      </c>
      <c r="AR198" s="14">
        <f t="shared" si="29"/>
        <v>0</v>
      </c>
      <c r="AS198" s="17" t="e">
        <f>IF(OR(AS197=0,AS197&gt;=#REF!),0,FV($O$1,AP198,-#REF!,0,1))</f>
        <v>#REF!</v>
      </c>
      <c r="AU198" s="5">
        <f t="shared" si="28"/>
        <v>0</v>
      </c>
    </row>
    <row r="199" spans="12:47" hidden="1" x14ac:dyDescent="0.25">
      <c r="L199" s="2" t="str">
        <f t="shared" si="37"/>
        <v/>
      </c>
      <c r="M199" s="45">
        <f t="shared" si="36"/>
        <v>14</v>
      </c>
      <c r="N199" s="36">
        <v>179</v>
      </c>
      <c r="O199" s="91">
        <f t="shared" si="30"/>
        <v>49209.736536301156</v>
      </c>
      <c r="P199" s="38">
        <f t="shared" si="31"/>
        <v>50148.049243482921</v>
      </c>
      <c r="W199" s="26">
        <f t="shared" si="32"/>
        <v>22782.158346845899</v>
      </c>
      <c r="X199" s="5">
        <f t="shared" si="33"/>
        <v>23216.559954708671</v>
      </c>
      <c r="Y199" s="5"/>
      <c r="AA199" s="63">
        <f t="shared" si="34"/>
        <v>49209.736536301156</v>
      </c>
      <c r="AB199" s="5">
        <f t="shared" si="35"/>
        <v>50148.049243482921</v>
      </c>
      <c r="AP199" s="3">
        <v>186</v>
      </c>
      <c r="AR199" s="14">
        <f t="shared" si="29"/>
        <v>0</v>
      </c>
      <c r="AS199" s="17" t="e">
        <f>IF(OR(AS198=0,AS198&gt;=#REF!),0,FV($O$1,AP199,-#REF!,0,1))</f>
        <v>#REF!</v>
      </c>
      <c r="AU199" s="5">
        <f t="shared" si="28"/>
        <v>0</v>
      </c>
    </row>
    <row r="200" spans="12:47" hidden="1" x14ac:dyDescent="0.25">
      <c r="L200" s="2" t="str">
        <f t="shared" si="37"/>
        <v/>
      </c>
      <c r="M200" s="45">
        <f t="shared" si="36"/>
        <v>14</v>
      </c>
      <c r="N200" s="36">
        <v>180</v>
      </c>
      <c r="O200" s="91">
        <f t="shared" si="30"/>
        <v>49209.736536301156</v>
      </c>
      <c r="P200" s="38">
        <f t="shared" si="31"/>
        <v>49676.677536659503</v>
      </c>
      <c r="W200" s="26">
        <f t="shared" si="32"/>
        <v>22782.158346845899</v>
      </c>
      <c r="X200" s="5">
        <f t="shared" si="33"/>
        <v>22998.333530002004</v>
      </c>
      <c r="Y200" s="5"/>
      <c r="AA200" s="63">
        <f t="shared" si="34"/>
        <v>49209.736536301156</v>
      </c>
      <c r="AB200" s="5">
        <f t="shared" si="35"/>
        <v>49676.677536659503</v>
      </c>
      <c r="AP200" s="3">
        <v>187</v>
      </c>
      <c r="AR200" s="14">
        <f t="shared" si="29"/>
        <v>0</v>
      </c>
      <c r="AS200" s="17" t="e">
        <f>IF(OR(AS199=0,AS199&gt;=#REF!),0,FV($O$1,AP200,-#REF!,0,1))</f>
        <v>#REF!</v>
      </c>
      <c r="AU200" s="5">
        <f t="shared" si="28"/>
        <v>0</v>
      </c>
    </row>
    <row r="201" spans="12:47" hidden="1" x14ac:dyDescent="0.25">
      <c r="L201" s="2" t="str">
        <f t="shared" si="37"/>
        <v/>
      </c>
      <c r="M201" s="45">
        <f t="shared" si="36"/>
        <v>15</v>
      </c>
      <c r="N201" s="36">
        <v>181</v>
      </c>
      <c r="O201" s="91">
        <f t="shared" si="30"/>
        <v>0</v>
      </c>
      <c r="P201" s="38">
        <f t="shared" si="31"/>
        <v>0</v>
      </c>
      <c r="W201" s="26">
        <f t="shared" si="32"/>
        <v>0</v>
      </c>
      <c r="X201" s="5">
        <f t="shared" si="33"/>
        <v>0</v>
      </c>
      <c r="Y201" s="5"/>
      <c r="AA201" s="63">
        <f t="shared" si="34"/>
        <v>0</v>
      </c>
      <c r="AB201" s="5">
        <f t="shared" si="35"/>
        <v>0</v>
      </c>
      <c r="AP201" s="3">
        <v>188</v>
      </c>
      <c r="AR201" s="14">
        <f t="shared" si="29"/>
        <v>0</v>
      </c>
      <c r="AS201" s="17" t="e">
        <f>IF(OR(AS200=0,AS200&gt;=#REF!),0,FV($O$1,AP201,-#REF!,0,1))</f>
        <v>#REF!</v>
      </c>
      <c r="AU201" s="5">
        <f t="shared" si="28"/>
        <v>0</v>
      </c>
    </row>
    <row r="202" spans="12:47" hidden="1" x14ac:dyDescent="0.25">
      <c r="L202" s="2" t="str">
        <f t="shared" si="37"/>
        <v/>
      </c>
      <c r="M202" s="45">
        <f t="shared" si="36"/>
        <v>15</v>
      </c>
      <c r="N202" s="36">
        <v>182</v>
      </c>
      <c r="O202" s="91">
        <f t="shared" si="30"/>
        <v>0</v>
      </c>
      <c r="P202" s="38">
        <f t="shared" si="31"/>
        <v>0</v>
      </c>
      <c r="W202" s="26">
        <f t="shared" si="32"/>
        <v>0</v>
      </c>
      <c r="X202" s="5">
        <f t="shared" si="33"/>
        <v>0</v>
      </c>
      <c r="Y202" s="5"/>
      <c r="AA202" s="63">
        <f t="shared" si="34"/>
        <v>0</v>
      </c>
      <c r="AB202" s="5">
        <f t="shared" si="35"/>
        <v>0</v>
      </c>
      <c r="AP202" s="3">
        <v>189</v>
      </c>
      <c r="AR202" s="14">
        <f t="shared" si="29"/>
        <v>0</v>
      </c>
      <c r="AS202" s="17" t="e">
        <f>IF(OR(AS201=0,AS201&gt;=#REF!),0,FV($O$1,AP202,-#REF!,0,1))</f>
        <v>#REF!</v>
      </c>
      <c r="AU202" s="5">
        <f t="shared" si="28"/>
        <v>0</v>
      </c>
    </row>
    <row r="203" spans="12:47" hidden="1" x14ac:dyDescent="0.25">
      <c r="L203" s="2" t="str">
        <f t="shared" si="37"/>
        <v/>
      </c>
      <c r="M203" s="45">
        <f t="shared" si="36"/>
        <v>15</v>
      </c>
      <c r="N203" s="36">
        <v>183</v>
      </c>
      <c r="O203" s="91">
        <f t="shared" si="30"/>
        <v>0</v>
      </c>
      <c r="P203" s="38">
        <f t="shared" si="31"/>
        <v>0</v>
      </c>
      <c r="W203" s="26">
        <f t="shared" si="32"/>
        <v>0</v>
      </c>
      <c r="X203" s="5">
        <f t="shared" si="33"/>
        <v>0</v>
      </c>
      <c r="Y203" s="5"/>
      <c r="AA203" s="63">
        <f t="shared" si="34"/>
        <v>0</v>
      </c>
      <c r="AB203" s="5">
        <f t="shared" si="35"/>
        <v>0</v>
      </c>
      <c r="AP203" s="3">
        <v>190</v>
      </c>
      <c r="AR203" s="14">
        <f t="shared" si="29"/>
        <v>0</v>
      </c>
      <c r="AS203" s="17" t="e">
        <f>IF(OR(AS202=0,AS202&gt;=#REF!),0,FV($O$1,AP203,-#REF!,0,1))</f>
        <v>#REF!</v>
      </c>
      <c r="AU203" s="5">
        <f t="shared" si="28"/>
        <v>0</v>
      </c>
    </row>
    <row r="204" spans="12:47" hidden="1" x14ac:dyDescent="0.25">
      <c r="L204" s="2" t="str">
        <f t="shared" si="37"/>
        <v/>
      </c>
      <c r="M204" s="45">
        <f t="shared" si="36"/>
        <v>15</v>
      </c>
      <c r="N204" s="36">
        <v>184</v>
      </c>
      <c r="O204" s="91">
        <f t="shared" si="30"/>
        <v>0</v>
      </c>
      <c r="P204" s="38">
        <f t="shared" si="31"/>
        <v>0</v>
      </c>
      <c r="W204" s="26">
        <f t="shared" si="32"/>
        <v>0</v>
      </c>
      <c r="X204" s="5">
        <f t="shared" si="33"/>
        <v>0</v>
      </c>
      <c r="Y204" s="5"/>
      <c r="AA204" s="63">
        <f t="shared" si="34"/>
        <v>0</v>
      </c>
      <c r="AB204" s="5">
        <f t="shared" si="35"/>
        <v>0</v>
      </c>
      <c r="AP204" s="3">
        <v>191</v>
      </c>
      <c r="AR204" s="14">
        <f t="shared" si="29"/>
        <v>0</v>
      </c>
      <c r="AS204" s="17" t="e">
        <f>IF(OR(AS203=0,AS203&gt;=#REF!),0,FV($O$1,AP204,-#REF!,0,1))</f>
        <v>#REF!</v>
      </c>
      <c r="AU204" s="5">
        <f t="shared" si="28"/>
        <v>0</v>
      </c>
    </row>
    <row r="205" spans="12:47" hidden="1" x14ac:dyDescent="0.25">
      <c r="L205" s="2" t="str">
        <f t="shared" si="37"/>
        <v/>
      </c>
      <c r="M205" s="45">
        <f t="shared" si="36"/>
        <v>15</v>
      </c>
      <c r="N205" s="36">
        <v>185</v>
      </c>
      <c r="O205" s="91">
        <f t="shared" si="30"/>
        <v>0</v>
      </c>
      <c r="P205" s="38">
        <f t="shared" si="31"/>
        <v>0</v>
      </c>
      <c r="W205" s="26">
        <f t="shared" si="32"/>
        <v>0</v>
      </c>
      <c r="X205" s="5">
        <f t="shared" si="33"/>
        <v>0</v>
      </c>
      <c r="Y205" s="5"/>
      <c r="AA205" s="63">
        <f t="shared" si="34"/>
        <v>0</v>
      </c>
      <c r="AB205" s="5">
        <f t="shared" si="35"/>
        <v>0</v>
      </c>
      <c r="AP205" s="3">
        <v>192</v>
      </c>
      <c r="AR205" s="14">
        <f t="shared" si="29"/>
        <v>0</v>
      </c>
      <c r="AS205" s="17" t="e">
        <f>IF(OR(AS204=0,AS204&gt;=#REF!),0,FV($O$1,AP205,-#REF!,0,1))</f>
        <v>#REF!</v>
      </c>
      <c r="AU205" s="5">
        <f t="shared" si="28"/>
        <v>0</v>
      </c>
    </row>
    <row r="206" spans="12:47" hidden="1" x14ac:dyDescent="0.25">
      <c r="L206" s="2" t="str">
        <f t="shared" si="37"/>
        <v/>
      </c>
      <c r="M206" s="45">
        <f t="shared" si="36"/>
        <v>15</v>
      </c>
      <c r="N206" s="36">
        <v>186</v>
      </c>
      <c r="O206" s="91">
        <f t="shared" si="30"/>
        <v>0</v>
      </c>
      <c r="P206" s="38">
        <f t="shared" si="31"/>
        <v>0</v>
      </c>
      <c r="W206" s="26">
        <f t="shared" si="32"/>
        <v>0</v>
      </c>
      <c r="X206" s="5">
        <f t="shared" si="33"/>
        <v>0</v>
      </c>
      <c r="Y206" s="5"/>
      <c r="AA206" s="63">
        <f t="shared" si="34"/>
        <v>0</v>
      </c>
      <c r="AB206" s="5">
        <f t="shared" si="35"/>
        <v>0</v>
      </c>
      <c r="AP206" s="3">
        <v>193</v>
      </c>
      <c r="AR206" s="14">
        <f t="shared" si="29"/>
        <v>0</v>
      </c>
      <c r="AS206" s="17" t="e">
        <f>IF(OR(AS205=0,AS205&gt;=#REF!),0,FV($O$1,AP206,-#REF!,0,1))</f>
        <v>#REF!</v>
      </c>
      <c r="AU206" s="5">
        <f t="shared" si="28"/>
        <v>0</v>
      </c>
    </row>
    <row r="207" spans="12:47" hidden="1" x14ac:dyDescent="0.25">
      <c r="L207" s="2" t="str">
        <f t="shared" si="37"/>
        <v/>
      </c>
      <c r="M207" s="45">
        <f t="shared" si="36"/>
        <v>15</v>
      </c>
      <c r="N207" s="36">
        <v>187</v>
      </c>
      <c r="O207" s="91">
        <f t="shared" si="30"/>
        <v>0</v>
      </c>
      <c r="P207" s="38">
        <f t="shared" si="31"/>
        <v>0</v>
      </c>
      <c r="W207" s="26">
        <f t="shared" si="32"/>
        <v>0</v>
      </c>
      <c r="X207" s="5">
        <f t="shared" si="33"/>
        <v>0</v>
      </c>
      <c r="Y207" s="5"/>
      <c r="AA207" s="63">
        <f t="shared" si="34"/>
        <v>0</v>
      </c>
      <c r="AB207" s="5">
        <f t="shared" si="35"/>
        <v>0</v>
      </c>
      <c r="AP207" s="3">
        <v>194</v>
      </c>
      <c r="AR207" s="14">
        <f t="shared" si="29"/>
        <v>0</v>
      </c>
      <c r="AS207" s="17" t="e">
        <f>IF(OR(AS206=0,AS206&gt;=#REF!),0,FV($O$1,AP207,-#REF!,0,1))</f>
        <v>#REF!</v>
      </c>
      <c r="AU207" s="5">
        <f t="shared" ref="AU207:AU270" si="38">X214</f>
        <v>0</v>
      </c>
    </row>
    <row r="208" spans="12:47" hidden="1" x14ac:dyDescent="0.25">
      <c r="L208" s="2" t="str">
        <f t="shared" si="37"/>
        <v/>
      </c>
      <c r="M208" s="45">
        <f t="shared" si="36"/>
        <v>15</v>
      </c>
      <c r="N208" s="36">
        <v>188</v>
      </c>
      <c r="O208" s="91">
        <f t="shared" si="30"/>
        <v>0</v>
      </c>
      <c r="P208" s="38">
        <f t="shared" si="31"/>
        <v>0</v>
      </c>
      <c r="W208" s="26">
        <f t="shared" si="32"/>
        <v>0</v>
      </c>
      <c r="X208" s="5">
        <f t="shared" si="33"/>
        <v>0</v>
      </c>
      <c r="Y208" s="5"/>
      <c r="AA208" s="63">
        <f t="shared" si="34"/>
        <v>0</v>
      </c>
      <c r="AB208" s="5">
        <f t="shared" si="35"/>
        <v>0</v>
      </c>
      <c r="AP208" s="3">
        <v>195</v>
      </c>
      <c r="AR208" s="14">
        <f t="shared" si="29"/>
        <v>0</v>
      </c>
      <c r="AS208" s="17" t="e">
        <f>IF(OR(AS207=0,AS207&gt;=#REF!),0,FV($O$1,AP208,-#REF!,0,1))</f>
        <v>#REF!</v>
      </c>
      <c r="AU208" s="5">
        <f t="shared" si="38"/>
        <v>0</v>
      </c>
    </row>
    <row r="209" spans="12:47" hidden="1" x14ac:dyDescent="0.25">
      <c r="L209" s="2" t="str">
        <f t="shared" si="37"/>
        <v/>
      </c>
      <c r="M209" s="45">
        <f t="shared" si="36"/>
        <v>15</v>
      </c>
      <c r="N209" s="36">
        <v>189</v>
      </c>
      <c r="O209" s="91">
        <f t="shared" si="30"/>
        <v>0</v>
      </c>
      <c r="P209" s="38">
        <f t="shared" si="31"/>
        <v>0</v>
      </c>
      <c r="W209" s="26">
        <f t="shared" si="32"/>
        <v>0</v>
      </c>
      <c r="X209" s="5">
        <f t="shared" si="33"/>
        <v>0</v>
      </c>
      <c r="Y209" s="5"/>
      <c r="AA209" s="63">
        <f t="shared" si="34"/>
        <v>0</v>
      </c>
      <c r="AB209" s="5">
        <f t="shared" si="35"/>
        <v>0</v>
      </c>
      <c r="AP209" s="3">
        <v>196</v>
      </c>
      <c r="AR209" s="14">
        <f t="shared" si="29"/>
        <v>0</v>
      </c>
      <c r="AS209" s="17" t="e">
        <f>IF(OR(AS208=0,AS208&gt;=#REF!),0,FV($O$1,AP209,-#REF!,0,1))</f>
        <v>#REF!</v>
      </c>
      <c r="AU209" s="5">
        <f t="shared" si="38"/>
        <v>0</v>
      </c>
    </row>
    <row r="210" spans="12:47" hidden="1" x14ac:dyDescent="0.25">
      <c r="L210" s="2" t="str">
        <f t="shared" si="37"/>
        <v/>
      </c>
      <c r="M210" s="45">
        <f t="shared" si="36"/>
        <v>15</v>
      </c>
      <c r="N210" s="36">
        <v>190</v>
      </c>
      <c r="O210" s="91">
        <f t="shared" si="30"/>
        <v>0</v>
      </c>
      <c r="P210" s="38">
        <f t="shared" si="31"/>
        <v>0</v>
      </c>
      <c r="W210" s="26">
        <f t="shared" si="32"/>
        <v>0</v>
      </c>
      <c r="X210" s="5">
        <f t="shared" si="33"/>
        <v>0</v>
      </c>
      <c r="Y210" s="5"/>
      <c r="AA210" s="63">
        <f t="shared" si="34"/>
        <v>0</v>
      </c>
      <c r="AB210" s="5">
        <f t="shared" si="35"/>
        <v>0</v>
      </c>
      <c r="AP210" s="3">
        <v>197</v>
      </c>
      <c r="AR210" s="14">
        <f t="shared" ref="AR210:AR273" si="39">IF(AP210&lt;=$X$3,FV($O$1,AP210,-$X$5,0,1),0)</f>
        <v>0</v>
      </c>
      <c r="AS210" s="17" t="e">
        <f>IF(OR(AS209=0,AS209&gt;=#REF!),0,FV($O$1,AP210,-#REF!,0,1))</f>
        <v>#REF!</v>
      </c>
      <c r="AU210" s="5">
        <f t="shared" si="38"/>
        <v>0</v>
      </c>
    </row>
    <row r="211" spans="12:47" hidden="1" x14ac:dyDescent="0.25">
      <c r="L211" s="2" t="str">
        <f t="shared" si="37"/>
        <v/>
      </c>
      <c r="M211" s="45">
        <f t="shared" si="36"/>
        <v>15</v>
      </c>
      <c r="N211" s="36">
        <v>191</v>
      </c>
      <c r="O211" s="91">
        <f t="shared" si="30"/>
        <v>0</v>
      </c>
      <c r="P211" s="38">
        <f t="shared" si="31"/>
        <v>0</v>
      </c>
      <c r="W211" s="26">
        <f t="shared" si="32"/>
        <v>0</v>
      </c>
      <c r="X211" s="5">
        <f t="shared" si="33"/>
        <v>0</v>
      </c>
      <c r="Y211" s="5"/>
      <c r="AA211" s="63">
        <f t="shared" si="34"/>
        <v>0</v>
      </c>
      <c r="AB211" s="5">
        <f t="shared" si="35"/>
        <v>0</v>
      </c>
      <c r="AP211" s="3">
        <v>198</v>
      </c>
      <c r="AR211" s="14">
        <f t="shared" si="39"/>
        <v>0</v>
      </c>
      <c r="AS211" s="17" t="e">
        <f>IF(OR(AS210=0,AS210&gt;=#REF!),0,FV($O$1,AP211,-#REF!,0,1))</f>
        <v>#REF!</v>
      </c>
      <c r="AU211" s="5">
        <f t="shared" si="38"/>
        <v>0</v>
      </c>
    </row>
    <row r="212" spans="12:47" hidden="1" x14ac:dyDescent="0.25">
      <c r="L212" s="2" t="str">
        <f t="shared" si="37"/>
        <v/>
      </c>
      <c r="M212" s="45">
        <f t="shared" si="36"/>
        <v>15</v>
      </c>
      <c r="N212" s="36">
        <v>192</v>
      </c>
      <c r="O212" s="91">
        <f t="shared" si="30"/>
        <v>0</v>
      </c>
      <c r="P212" s="38">
        <f t="shared" si="31"/>
        <v>0</v>
      </c>
      <c r="W212" s="26">
        <f t="shared" si="32"/>
        <v>0</v>
      </c>
      <c r="X212" s="5">
        <f t="shared" si="33"/>
        <v>0</v>
      </c>
      <c r="Y212" s="5"/>
      <c r="AA212" s="63">
        <f t="shared" si="34"/>
        <v>0</v>
      </c>
      <c r="AB212" s="5">
        <f t="shared" si="35"/>
        <v>0</v>
      </c>
      <c r="AP212" s="3">
        <v>199</v>
      </c>
      <c r="AR212" s="14">
        <f t="shared" si="39"/>
        <v>0</v>
      </c>
      <c r="AS212" s="17" t="e">
        <f>IF(OR(AS211=0,AS211&gt;=#REF!),0,FV($O$1,AP212,-#REF!,0,1))</f>
        <v>#REF!</v>
      </c>
      <c r="AU212" s="5">
        <f t="shared" si="38"/>
        <v>0</v>
      </c>
    </row>
    <row r="213" spans="12:47" hidden="1" x14ac:dyDescent="0.25">
      <c r="L213" s="2" t="str">
        <f t="shared" si="37"/>
        <v/>
      </c>
      <c r="M213" s="45">
        <f t="shared" si="36"/>
        <v>16</v>
      </c>
      <c r="N213" s="36">
        <v>193</v>
      </c>
      <c r="O213" s="91">
        <f t="shared" ref="O213:O276" si="40">IF(N213&lt;=InvMonths,SU_Amt*(1+GRate)^M213,0)</f>
        <v>0</v>
      </c>
      <c r="P213" s="38">
        <f t="shared" ref="P213:P276" si="41">FV(SIPRate,InvMonths-N213+1,0,-O213,1)</f>
        <v>0</v>
      </c>
      <c r="W213" s="26">
        <f t="shared" ref="W213:W276" si="42">IF(N213&lt;=InvMonths,$X$18,0)</f>
        <v>0</v>
      </c>
      <c r="X213" s="5">
        <f t="shared" ref="X213:X276" si="43">FV(SIPRate,(InvMonths-N213+1),0,-W213,1)</f>
        <v>0</v>
      </c>
      <c r="Y213" s="5"/>
      <c r="AA213" s="63">
        <f t="shared" ref="AA213:AA276" si="44">IF(N213&lt;=InvMonths,$AB$18*(1+$C$32)^M213,0)</f>
        <v>0</v>
      </c>
      <c r="AB213" s="5">
        <f t="shared" ref="AB213:AB276" si="45">FV(SIPRate,(InvMonths-N213+1),0,-AA213,1)</f>
        <v>0</v>
      </c>
      <c r="AP213" s="3">
        <v>200</v>
      </c>
      <c r="AR213" s="14">
        <f t="shared" si="39"/>
        <v>0</v>
      </c>
      <c r="AS213" s="17" t="e">
        <f>IF(OR(AS212=0,AS212&gt;=#REF!),0,FV($O$1,AP213,-#REF!,0,1))</f>
        <v>#REF!</v>
      </c>
      <c r="AU213" s="5">
        <f t="shared" si="38"/>
        <v>0</v>
      </c>
    </row>
    <row r="214" spans="12:47" hidden="1" x14ac:dyDescent="0.25">
      <c r="L214" s="2" t="str">
        <f t="shared" si="37"/>
        <v/>
      </c>
      <c r="M214" s="45">
        <f t="shared" ref="M214:M277" si="46">IF(MOD(N214,12)=0,(N214/12)-1,QUOTIENT(N214,12))</f>
        <v>16</v>
      </c>
      <c r="N214" s="36">
        <v>194</v>
      </c>
      <c r="O214" s="91">
        <f t="shared" si="40"/>
        <v>0</v>
      </c>
      <c r="P214" s="38">
        <f t="shared" si="41"/>
        <v>0</v>
      </c>
      <c r="W214" s="26">
        <f t="shared" si="42"/>
        <v>0</v>
      </c>
      <c r="X214" s="5">
        <f t="shared" si="43"/>
        <v>0</v>
      </c>
      <c r="Y214" s="5"/>
      <c r="AA214" s="63">
        <f t="shared" si="44"/>
        <v>0</v>
      </c>
      <c r="AB214" s="5">
        <f t="shared" si="45"/>
        <v>0</v>
      </c>
      <c r="AP214" s="3">
        <v>201</v>
      </c>
      <c r="AR214" s="14">
        <f t="shared" si="39"/>
        <v>0</v>
      </c>
      <c r="AS214" s="17" t="e">
        <f>IF(OR(AS213=0,AS213&gt;=#REF!),0,FV($O$1,AP214,-#REF!,0,1))</f>
        <v>#REF!</v>
      </c>
      <c r="AU214" s="5">
        <f t="shared" si="38"/>
        <v>0</v>
      </c>
    </row>
    <row r="215" spans="12:47" hidden="1" x14ac:dyDescent="0.25">
      <c r="L215" s="2" t="str">
        <f t="shared" si="37"/>
        <v/>
      </c>
      <c r="M215" s="45">
        <f t="shared" si="46"/>
        <v>16</v>
      </c>
      <c r="N215" s="36">
        <v>195</v>
      </c>
      <c r="O215" s="91">
        <f t="shared" si="40"/>
        <v>0</v>
      </c>
      <c r="P215" s="38">
        <f t="shared" si="41"/>
        <v>0</v>
      </c>
      <c r="W215" s="26">
        <f t="shared" si="42"/>
        <v>0</v>
      </c>
      <c r="X215" s="5">
        <f t="shared" si="43"/>
        <v>0</v>
      </c>
      <c r="Y215" s="5"/>
      <c r="AA215" s="63">
        <f t="shared" si="44"/>
        <v>0</v>
      </c>
      <c r="AB215" s="5">
        <f t="shared" si="45"/>
        <v>0</v>
      </c>
      <c r="AP215" s="3">
        <v>202</v>
      </c>
      <c r="AR215" s="14">
        <f t="shared" si="39"/>
        <v>0</v>
      </c>
      <c r="AS215" s="17" t="e">
        <f>IF(OR(AS214=0,AS214&gt;=#REF!),0,FV($O$1,AP215,-#REF!,0,1))</f>
        <v>#REF!</v>
      </c>
      <c r="AU215" s="5">
        <f t="shared" si="38"/>
        <v>0</v>
      </c>
    </row>
    <row r="216" spans="12:47" hidden="1" x14ac:dyDescent="0.25">
      <c r="L216" s="2" t="str">
        <f t="shared" si="37"/>
        <v/>
      </c>
      <c r="M216" s="45">
        <f t="shared" si="46"/>
        <v>16</v>
      </c>
      <c r="N216" s="36">
        <v>196</v>
      </c>
      <c r="O216" s="91">
        <f t="shared" si="40"/>
        <v>0</v>
      </c>
      <c r="P216" s="38">
        <f t="shared" si="41"/>
        <v>0</v>
      </c>
      <c r="W216" s="26">
        <f t="shared" si="42"/>
        <v>0</v>
      </c>
      <c r="X216" s="5">
        <f t="shared" si="43"/>
        <v>0</v>
      </c>
      <c r="Y216" s="5"/>
      <c r="AA216" s="63">
        <f t="shared" si="44"/>
        <v>0</v>
      </c>
      <c r="AB216" s="5">
        <f t="shared" si="45"/>
        <v>0</v>
      </c>
      <c r="AP216" s="3">
        <v>203</v>
      </c>
      <c r="AR216" s="14">
        <f t="shared" si="39"/>
        <v>0</v>
      </c>
      <c r="AS216" s="17" t="e">
        <f>IF(OR(AS215=0,AS215&gt;=#REF!),0,FV($O$1,AP216,-#REF!,0,1))</f>
        <v>#REF!</v>
      </c>
      <c r="AU216" s="5">
        <f t="shared" si="38"/>
        <v>0</v>
      </c>
    </row>
    <row r="217" spans="12:47" hidden="1" x14ac:dyDescent="0.25">
      <c r="L217" s="2" t="str">
        <f t="shared" si="37"/>
        <v/>
      </c>
      <c r="M217" s="45">
        <f t="shared" si="46"/>
        <v>16</v>
      </c>
      <c r="N217" s="36">
        <v>197</v>
      </c>
      <c r="O217" s="91">
        <f t="shared" si="40"/>
        <v>0</v>
      </c>
      <c r="P217" s="38">
        <f t="shared" si="41"/>
        <v>0</v>
      </c>
      <c r="W217" s="26">
        <f t="shared" si="42"/>
        <v>0</v>
      </c>
      <c r="X217" s="5">
        <f t="shared" si="43"/>
        <v>0</v>
      </c>
      <c r="Y217" s="5"/>
      <c r="AA217" s="63">
        <f t="shared" si="44"/>
        <v>0</v>
      </c>
      <c r="AB217" s="5">
        <f t="shared" si="45"/>
        <v>0</v>
      </c>
      <c r="AP217" s="3">
        <v>204</v>
      </c>
      <c r="AR217" s="14">
        <f t="shared" si="39"/>
        <v>0</v>
      </c>
      <c r="AS217" s="17" t="e">
        <f>IF(OR(AS216=0,AS216&gt;=#REF!),0,FV($O$1,AP217,-#REF!,0,1))</f>
        <v>#REF!</v>
      </c>
      <c r="AU217" s="5">
        <f t="shared" si="38"/>
        <v>0</v>
      </c>
    </row>
    <row r="218" spans="12:47" hidden="1" x14ac:dyDescent="0.25">
      <c r="L218" s="2" t="str">
        <f t="shared" si="37"/>
        <v/>
      </c>
      <c r="M218" s="45">
        <f t="shared" si="46"/>
        <v>16</v>
      </c>
      <c r="N218" s="36">
        <v>198</v>
      </c>
      <c r="O218" s="91">
        <f t="shared" si="40"/>
        <v>0</v>
      </c>
      <c r="P218" s="38">
        <f t="shared" si="41"/>
        <v>0</v>
      </c>
      <c r="W218" s="26">
        <f t="shared" si="42"/>
        <v>0</v>
      </c>
      <c r="X218" s="5">
        <f t="shared" si="43"/>
        <v>0</v>
      </c>
      <c r="Y218" s="5"/>
      <c r="AA218" s="63">
        <f t="shared" si="44"/>
        <v>0</v>
      </c>
      <c r="AB218" s="5">
        <f t="shared" si="45"/>
        <v>0</v>
      </c>
      <c r="AP218" s="3">
        <v>205</v>
      </c>
      <c r="AR218" s="14">
        <f t="shared" si="39"/>
        <v>0</v>
      </c>
      <c r="AS218" s="17" t="e">
        <f>IF(OR(AS217=0,AS217&gt;=#REF!),0,FV($O$1,AP218,-#REF!,0,1))</f>
        <v>#REF!</v>
      </c>
      <c r="AU218" s="5">
        <f t="shared" si="38"/>
        <v>0</v>
      </c>
    </row>
    <row r="219" spans="12:47" hidden="1" x14ac:dyDescent="0.25">
      <c r="L219" s="2" t="str">
        <f t="shared" si="37"/>
        <v/>
      </c>
      <c r="M219" s="45">
        <f t="shared" si="46"/>
        <v>16</v>
      </c>
      <c r="N219" s="36">
        <v>199</v>
      </c>
      <c r="O219" s="91">
        <f t="shared" si="40"/>
        <v>0</v>
      </c>
      <c r="P219" s="38">
        <f t="shared" si="41"/>
        <v>0</v>
      </c>
      <c r="W219" s="26">
        <f t="shared" si="42"/>
        <v>0</v>
      </c>
      <c r="X219" s="5">
        <f t="shared" si="43"/>
        <v>0</v>
      </c>
      <c r="Y219" s="5"/>
      <c r="AA219" s="63">
        <f t="shared" si="44"/>
        <v>0</v>
      </c>
      <c r="AB219" s="5">
        <f t="shared" si="45"/>
        <v>0</v>
      </c>
      <c r="AP219" s="3">
        <v>206</v>
      </c>
      <c r="AR219" s="14">
        <f t="shared" si="39"/>
        <v>0</v>
      </c>
      <c r="AS219" s="17" t="e">
        <f>IF(OR(AS218=0,AS218&gt;=#REF!),0,FV($O$1,AP219,-#REF!,0,1))</f>
        <v>#REF!</v>
      </c>
      <c r="AU219" s="5">
        <f t="shared" si="38"/>
        <v>0</v>
      </c>
    </row>
    <row r="220" spans="12:47" hidden="1" x14ac:dyDescent="0.25">
      <c r="L220" s="2" t="str">
        <f t="shared" si="37"/>
        <v/>
      </c>
      <c r="M220" s="45">
        <f t="shared" si="46"/>
        <v>16</v>
      </c>
      <c r="N220" s="36">
        <v>200</v>
      </c>
      <c r="O220" s="91">
        <f t="shared" si="40"/>
        <v>0</v>
      </c>
      <c r="P220" s="38">
        <f t="shared" si="41"/>
        <v>0</v>
      </c>
      <c r="W220" s="26">
        <f t="shared" si="42"/>
        <v>0</v>
      </c>
      <c r="X220" s="5">
        <f t="shared" si="43"/>
        <v>0</v>
      </c>
      <c r="Y220" s="5"/>
      <c r="AA220" s="63">
        <f t="shared" si="44"/>
        <v>0</v>
      </c>
      <c r="AB220" s="5">
        <f t="shared" si="45"/>
        <v>0</v>
      </c>
      <c r="AP220" s="3">
        <v>207</v>
      </c>
      <c r="AR220" s="14">
        <f t="shared" si="39"/>
        <v>0</v>
      </c>
      <c r="AS220" s="17" t="e">
        <f>IF(OR(AS219=0,AS219&gt;=#REF!),0,FV($O$1,AP220,-#REF!,0,1))</f>
        <v>#REF!</v>
      </c>
      <c r="AU220" s="5">
        <f t="shared" si="38"/>
        <v>0</v>
      </c>
    </row>
    <row r="221" spans="12:47" hidden="1" x14ac:dyDescent="0.25">
      <c r="L221" s="2" t="str">
        <f t="shared" si="37"/>
        <v/>
      </c>
      <c r="M221" s="45">
        <f t="shared" si="46"/>
        <v>16</v>
      </c>
      <c r="N221" s="36">
        <v>201</v>
      </c>
      <c r="O221" s="91">
        <f t="shared" si="40"/>
        <v>0</v>
      </c>
      <c r="P221" s="38">
        <f t="shared" si="41"/>
        <v>0</v>
      </c>
      <c r="W221" s="26">
        <f t="shared" si="42"/>
        <v>0</v>
      </c>
      <c r="X221" s="5">
        <f t="shared" si="43"/>
        <v>0</v>
      </c>
      <c r="Y221" s="5"/>
      <c r="AA221" s="63">
        <f t="shared" si="44"/>
        <v>0</v>
      </c>
      <c r="AB221" s="5">
        <f t="shared" si="45"/>
        <v>0</v>
      </c>
      <c r="AP221" s="3">
        <v>208</v>
      </c>
      <c r="AR221" s="14">
        <f t="shared" si="39"/>
        <v>0</v>
      </c>
      <c r="AS221" s="17" t="e">
        <f>IF(OR(AS220=0,AS220&gt;=#REF!),0,FV($O$1,AP221,-#REF!,0,1))</f>
        <v>#REF!</v>
      </c>
      <c r="AU221" s="5">
        <f t="shared" si="38"/>
        <v>0</v>
      </c>
    </row>
    <row r="222" spans="12:47" hidden="1" x14ac:dyDescent="0.25">
      <c r="L222" s="2" t="str">
        <f t="shared" ref="L222:L285" si="47">IF(MOD(M222,12)=0,M222/12,"")</f>
        <v/>
      </c>
      <c r="M222" s="45">
        <f t="shared" si="46"/>
        <v>16</v>
      </c>
      <c r="N222" s="36">
        <v>202</v>
      </c>
      <c r="O222" s="91">
        <f t="shared" si="40"/>
        <v>0</v>
      </c>
      <c r="P222" s="38">
        <f t="shared" si="41"/>
        <v>0</v>
      </c>
      <c r="W222" s="26">
        <f t="shared" si="42"/>
        <v>0</v>
      </c>
      <c r="X222" s="5">
        <f t="shared" si="43"/>
        <v>0</v>
      </c>
      <c r="Y222" s="5"/>
      <c r="AA222" s="63">
        <f t="shared" si="44"/>
        <v>0</v>
      </c>
      <c r="AB222" s="5">
        <f t="shared" si="45"/>
        <v>0</v>
      </c>
      <c r="AP222" s="3">
        <v>209</v>
      </c>
      <c r="AR222" s="14">
        <f t="shared" si="39"/>
        <v>0</v>
      </c>
      <c r="AS222" s="17" t="e">
        <f>IF(OR(AS221=0,AS221&gt;=#REF!),0,FV($O$1,AP222,-#REF!,0,1))</f>
        <v>#REF!</v>
      </c>
      <c r="AU222" s="5">
        <f t="shared" si="38"/>
        <v>0</v>
      </c>
    </row>
    <row r="223" spans="12:47" hidden="1" x14ac:dyDescent="0.25">
      <c r="L223" s="2" t="str">
        <f t="shared" si="47"/>
        <v/>
      </c>
      <c r="M223" s="45">
        <f t="shared" si="46"/>
        <v>16</v>
      </c>
      <c r="N223" s="36">
        <v>203</v>
      </c>
      <c r="O223" s="91">
        <f t="shared" si="40"/>
        <v>0</v>
      </c>
      <c r="P223" s="38">
        <f t="shared" si="41"/>
        <v>0</v>
      </c>
      <c r="W223" s="26">
        <f t="shared" si="42"/>
        <v>0</v>
      </c>
      <c r="X223" s="5">
        <f t="shared" si="43"/>
        <v>0</v>
      </c>
      <c r="Y223" s="5"/>
      <c r="AA223" s="63">
        <f t="shared" si="44"/>
        <v>0</v>
      </c>
      <c r="AB223" s="5">
        <f t="shared" si="45"/>
        <v>0</v>
      </c>
      <c r="AP223" s="3">
        <v>210</v>
      </c>
      <c r="AR223" s="14">
        <f t="shared" si="39"/>
        <v>0</v>
      </c>
      <c r="AS223" s="17" t="e">
        <f>IF(OR(AS222=0,AS222&gt;=#REF!),0,FV($O$1,AP223,-#REF!,0,1))</f>
        <v>#REF!</v>
      </c>
      <c r="AU223" s="5">
        <f t="shared" si="38"/>
        <v>0</v>
      </c>
    </row>
    <row r="224" spans="12:47" hidden="1" x14ac:dyDescent="0.25">
      <c r="L224" s="2" t="str">
        <f t="shared" si="47"/>
        <v/>
      </c>
      <c r="M224" s="45">
        <f t="shared" si="46"/>
        <v>16</v>
      </c>
      <c r="N224" s="36">
        <v>204</v>
      </c>
      <c r="O224" s="91">
        <f t="shared" si="40"/>
        <v>0</v>
      </c>
      <c r="P224" s="38">
        <f t="shared" si="41"/>
        <v>0</v>
      </c>
      <c r="W224" s="26">
        <f t="shared" si="42"/>
        <v>0</v>
      </c>
      <c r="X224" s="5">
        <f t="shared" si="43"/>
        <v>0</v>
      </c>
      <c r="Y224" s="5"/>
      <c r="AA224" s="63">
        <f t="shared" si="44"/>
        <v>0</v>
      </c>
      <c r="AB224" s="5">
        <f t="shared" si="45"/>
        <v>0</v>
      </c>
      <c r="AP224" s="3">
        <v>211</v>
      </c>
      <c r="AR224" s="14">
        <f t="shared" si="39"/>
        <v>0</v>
      </c>
      <c r="AS224" s="17" t="e">
        <f>IF(OR(AS223=0,AS223&gt;=#REF!),0,FV($O$1,AP224,-#REF!,0,1))</f>
        <v>#REF!</v>
      </c>
      <c r="AU224" s="5">
        <f t="shared" si="38"/>
        <v>0</v>
      </c>
    </row>
    <row r="225" spans="12:47" hidden="1" x14ac:dyDescent="0.25">
      <c r="L225" s="2" t="str">
        <f t="shared" si="47"/>
        <v/>
      </c>
      <c r="M225" s="45">
        <f t="shared" si="46"/>
        <v>17</v>
      </c>
      <c r="N225" s="36">
        <v>205</v>
      </c>
      <c r="O225" s="91">
        <f t="shared" si="40"/>
        <v>0</v>
      </c>
      <c r="P225" s="38">
        <f t="shared" si="41"/>
        <v>0</v>
      </c>
      <c r="W225" s="26">
        <f t="shared" si="42"/>
        <v>0</v>
      </c>
      <c r="X225" s="5">
        <f t="shared" si="43"/>
        <v>0</v>
      </c>
      <c r="Y225" s="5"/>
      <c r="AA225" s="63">
        <f t="shared" si="44"/>
        <v>0</v>
      </c>
      <c r="AB225" s="5">
        <f t="shared" si="45"/>
        <v>0</v>
      </c>
      <c r="AP225" s="3">
        <v>212</v>
      </c>
      <c r="AR225" s="14">
        <f t="shared" si="39"/>
        <v>0</v>
      </c>
      <c r="AS225" s="17" t="e">
        <f>IF(OR(AS224=0,AS224&gt;=#REF!),0,FV($O$1,AP225,-#REF!,0,1))</f>
        <v>#REF!</v>
      </c>
      <c r="AU225" s="5">
        <f t="shared" si="38"/>
        <v>0</v>
      </c>
    </row>
    <row r="226" spans="12:47" hidden="1" x14ac:dyDescent="0.25">
      <c r="L226" s="2" t="str">
        <f t="shared" si="47"/>
        <v/>
      </c>
      <c r="M226" s="45">
        <f t="shared" si="46"/>
        <v>17</v>
      </c>
      <c r="N226" s="36">
        <v>206</v>
      </c>
      <c r="O226" s="91">
        <f t="shared" si="40"/>
        <v>0</v>
      </c>
      <c r="P226" s="38">
        <f t="shared" si="41"/>
        <v>0</v>
      </c>
      <c r="W226" s="26">
        <f t="shared" si="42"/>
        <v>0</v>
      </c>
      <c r="X226" s="5">
        <f t="shared" si="43"/>
        <v>0</v>
      </c>
      <c r="Y226" s="5"/>
      <c r="AA226" s="63">
        <f t="shared" si="44"/>
        <v>0</v>
      </c>
      <c r="AB226" s="5">
        <f t="shared" si="45"/>
        <v>0</v>
      </c>
      <c r="AP226" s="3">
        <v>213</v>
      </c>
      <c r="AR226" s="14">
        <f t="shared" si="39"/>
        <v>0</v>
      </c>
      <c r="AS226" s="17" t="e">
        <f>IF(OR(AS225=0,AS225&gt;=#REF!),0,FV($O$1,AP226,-#REF!,0,1))</f>
        <v>#REF!</v>
      </c>
      <c r="AU226" s="5">
        <f t="shared" si="38"/>
        <v>0</v>
      </c>
    </row>
    <row r="227" spans="12:47" hidden="1" x14ac:dyDescent="0.25">
      <c r="L227" s="2" t="str">
        <f t="shared" si="47"/>
        <v/>
      </c>
      <c r="M227" s="45">
        <f t="shared" si="46"/>
        <v>17</v>
      </c>
      <c r="N227" s="36">
        <v>207</v>
      </c>
      <c r="O227" s="91">
        <f t="shared" si="40"/>
        <v>0</v>
      </c>
      <c r="P227" s="38">
        <f t="shared" si="41"/>
        <v>0</v>
      </c>
      <c r="W227" s="26">
        <f t="shared" si="42"/>
        <v>0</v>
      </c>
      <c r="X227" s="5">
        <f t="shared" si="43"/>
        <v>0</v>
      </c>
      <c r="Y227" s="5"/>
      <c r="AA227" s="63">
        <f t="shared" si="44"/>
        <v>0</v>
      </c>
      <c r="AB227" s="5">
        <f t="shared" si="45"/>
        <v>0</v>
      </c>
      <c r="AP227" s="3">
        <v>214</v>
      </c>
      <c r="AR227" s="14">
        <f t="shared" si="39"/>
        <v>0</v>
      </c>
      <c r="AS227" s="17" t="e">
        <f>IF(OR(AS226=0,AS226&gt;=#REF!),0,FV($O$1,AP227,-#REF!,0,1))</f>
        <v>#REF!</v>
      </c>
      <c r="AU227" s="5">
        <f t="shared" si="38"/>
        <v>0</v>
      </c>
    </row>
    <row r="228" spans="12:47" hidden="1" x14ac:dyDescent="0.25">
      <c r="L228" s="2" t="str">
        <f t="shared" si="47"/>
        <v/>
      </c>
      <c r="M228" s="45">
        <f t="shared" si="46"/>
        <v>17</v>
      </c>
      <c r="N228" s="36">
        <v>208</v>
      </c>
      <c r="O228" s="91">
        <f t="shared" si="40"/>
        <v>0</v>
      </c>
      <c r="P228" s="38">
        <f t="shared" si="41"/>
        <v>0</v>
      </c>
      <c r="W228" s="26">
        <f t="shared" si="42"/>
        <v>0</v>
      </c>
      <c r="X228" s="5">
        <f t="shared" si="43"/>
        <v>0</v>
      </c>
      <c r="Y228" s="5"/>
      <c r="AA228" s="63">
        <f t="shared" si="44"/>
        <v>0</v>
      </c>
      <c r="AB228" s="5">
        <f t="shared" si="45"/>
        <v>0</v>
      </c>
      <c r="AP228" s="3">
        <v>215</v>
      </c>
      <c r="AR228" s="14">
        <f t="shared" si="39"/>
        <v>0</v>
      </c>
      <c r="AS228" s="17" t="e">
        <f>IF(OR(AS227=0,AS227&gt;=#REF!),0,FV($O$1,AP228,-#REF!,0,1))</f>
        <v>#REF!</v>
      </c>
      <c r="AU228" s="5">
        <f t="shared" si="38"/>
        <v>0</v>
      </c>
    </row>
    <row r="229" spans="12:47" hidden="1" x14ac:dyDescent="0.25">
      <c r="L229" s="2" t="str">
        <f t="shared" si="47"/>
        <v/>
      </c>
      <c r="M229" s="45">
        <f t="shared" si="46"/>
        <v>17</v>
      </c>
      <c r="N229" s="36">
        <v>209</v>
      </c>
      <c r="O229" s="91">
        <f t="shared" si="40"/>
        <v>0</v>
      </c>
      <c r="P229" s="38">
        <f t="shared" si="41"/>
        <v>0</v>
      </c>
      <c r="W229" s="26">
        <f t="shared" si="42"/>
        <v>0</v>
      </c>
      <c r="X229" s="5">
        <f t="shared" si="43"/>
        <v>0</v>
      </c>
      <c r="Y229" s="5"/>
      <c r="AA229" s="63">
        <f t="shared" si="44"/>
        <v>0</v>
      </c>
      <c r="AB229" s="5">
        <f t="shared" si="45"/>
        <v>0</v>
      </c>
      <c r="AP229" s="3">
        <v>216</v>
      </c>
      <c r="AR229" s="14">
        <f t="shared" si="39"/>
        <v>0</v>
      </c>
      <c r="AS229" s="17" t="e">
        <f>IF(OR(AS228=0,AS228&gt;=#REF!),0,FV($O$1,AP229,-#REF!,0,1))</f>
        <v>#REF!</v>
      </c>
      <c r="AU229" s="5">
        <f t="shared" si="38"/>
        <v>0</v>
      </c>
    </row>
    <row r="230" spans="12:47" hidden="1" x14ac:dyDescent="0.25">
      <c r="L230" s="2" t="str">
        <f t="shared" si="47"/>
        <v/>
      </c>
      <c r="M230" s="45">
        <f t="shared" si="46"/>
        <v>17</v>
      </c>
      <c r="N230" s="36">
        <v>210</v>
      </c>
      <c r="O230" s="91">
        <f t="shared" si="40"/>
        <v>0</v>
      </c>
      <c r="P230" s="38">
        <f t="shared" si="41"/>
        <v>0</v>
      </c>
      <c r="W230" s="26">
        <f t="shared" si="42"/>
        <v>0</v>
      </c>
      <c r="X230" s="5">
        <f t="shared" si="43"/>
        <v>0</v>
      </c>
      <c r="Y230" s="5"/>
      <c r="AA230" s="63">
        <f t="shared" si="44"/>
        <v>0</v>
      </c>
      <c r="AB230" s="5">
        <f t="shared" si="45"/>
        <v>0</v>
      </c>
      <c r="AP230" s="3">
        <v>217</v>
      </c>
      <c r="AR230" s="14">
        <f t="shared" si="39"/>
        <v>0</v>
      </c>
      <c r="AS230" s="17" t="e">
        <f>IF(OR(AS229=0,AS229&gt;=#REF!),0,FV($O$1,AP230,-#REF!,0,1))</f>
        <v>#REF!</v>
      </c>
      <c r="AU230" s="5">
        <f t="shared" si="38"/>
        <v>0</v>
      </c>
    </row>
    <row r="231" spans="12:47" hidden="1" x14ac:dyDescent="0.25">
      <c r="L231" s="2" t="str">
        <f t="shared" si="47"/>
        <v/>
      </c>
      <c r="M231" s="45">
        <f t="shared" si="46"/>
        <v>17</v>
      </c>
      <c r="N231" s="36">
        <v>211</v>
      </c>
      <c r="O231" s="91">
        <f t="shared" si="40"/>
        <v>0</v>
      </c>
      <c r="P231" s="38">
        <f t="shared" si="41"/>
        <v>0</v>
      </c>
      <c r="W231" s="26">
        <f t="shared" si="42"/>
        <v>0</v>
      </c>
      <c r="X231" s="5">
        <f t="shared" si="43"/>
        <v>0</v>
      </c>
      <c r="Y231" s="5"/>
      <c r="AA231" s="63">
        <f t="shared" si="44"/>
        <v>0</v>
      </c>
      <c r="AB231" s="5">
        <f t="shared" si="45"/>
        <v>0</v>
      </c>
      <c r="AP231" s="3">
        <v>218</v>
      </c>
      <c r="AR231" s="14">
        <f t="shared" si="39"/>
        <v>0</v>
      </c>
      <c r="AS231" s="17" t="e">
        <f>IF(OR(AS230=0,AS230&gt;=#REF!),0,FV($O$1,AP231,-#REF!,0,1))</f>
        <v>#REF!</v>
      </c>
      <c r="AU231" s="5">
        <f t="shared" si="38"/>
        <v>0</v>
      </c>
    </row>
    <row r="232" spans="12:47" hidden="1" x14ac:dyDescent="0.25">
      <c r="L232" s="2" t="str">
        <f t="shared" si="47"/>
        <v/>
      </c>
      <c r="M232" s="45">
        <f t="shared" si="46"/>
        <v>17</v>
      </c>
      <c r="N232" s="36">
        <v>212</v>
      </c>
      <c r="O232" s="91">
        <f t="shared" si="40"/>
        <v>0</v>
      </c>
      <c r="P232" s="38">
        <f t="shared" si="41"/>
        <v>0</v>
      </c>
      <c r="W232" s="26">
        <f t="shared" si="42"/>
        <v>0</v>
      </c>
      <c r="X232" s="5">
        <f t="shared" si="43"/>
        <v>0</v>
      </c>
      <c r="Y232" s="5"/>
      <c r="AA232" s="63">
        <f t="shared" si="44"/>
        <v>0</v>
      </c>
      <c r="AB232" s="5">
        <f t="shared" si="45"/>
        <v>0</v>
      </c>
      <c r="AP232" s="3">
        <v>219</v>
      </c>
      <c r="AR232" s="14">
        <f t="shared" si="39"/>
        <v>0</v>
      </c>
      <c r="AS232" s="17" t="e">
        <f>IF(OR(AS231=0,AS231&gt;=#REF!),0,FV($O$1,AP232,-#REF!,0,1))</f>
        <v>#REF!</v>
      </c>
      <c r="AU232" s="5">
        <f t="shared" si="38"/>
        <v>0</v>
      </c>
    </row>
    <row r="233" spans="12:47" hidden="1" x14ac:dyDescent="0.25">
      <c r="L233" s="2" t="str">
        <f t="shared" si="47"/>
        <v/>
      </c>
      <c r="M233" s="45">
        <f t="shared" si="46"/>
        <v>17</v>
      </c>
      <c r="N233" s="36">
        <v>213</v>
      </c>
      <c r="O233" s="91">
        <f t="shared" si="40"/>
        <v>0</v>
      </c>
      <c r="P233" s="38">
        <f t="shared" si="41"/>
        <v>0</v>
      </c>
      <c r="W233" s="26">
        <f t="shared" si="42"/>
        <v>0</v>
      </c>
      <c r="X233" s="5">
        <f t="shared" si="43"/>
        <v>0</v>
      </c>
      <c r="Y233" s="5"/>
      <c r="AA233" s="63">
        <f t="shared" si="44"/>
        <v>0</v>
      </c>
      <c r="AB233" s="5">
        <f t="shared" si="45"/>
        <v>0</v>
      </c>
      <c r="AP233" s="3">
        <v>220</v>
      </c>
      <c r="AR233" s="14">
        <f t="shared" si="39"/>
        <v>0</v>
      </c>
      <c r="AS233" s="17" t="e">
        <f>IF(OR(AS232=0,AS232&gt;=#REF!),0,FV($O$1,AP233,-#REF!,0,1))</f>
        <v>#REF!</v>
      </c>
      <c r="AU233" s="5">
        <f t="shared" si="38"/>
        <v>0</v>
      </c>
    </row>
    <row r="234" spans="12:47" hidden="1" x14ac:dyDescent="0.25">
      <c r="L234" s="2" t="str">
        <f t="shared" si="47"/>
        <v/>
      </c>
      <c r="M234" s="45">
        <f t="shared" si="46"/>
        <v>17</v>
      </c>
      <c r="N234" s="36">
        <v>214</v>
      </c>
      <c r="O234" s="91">
        <f t="shared" si="40"/>
        <v>0</v>
      </c>
      <c r="P234" s="38">
        <f t="shared" si="41"/>
        <v>0</v>
      </c>
      <c r="W234" s="26">
        <f t="shared" si="42"/>
        <v>0</v>
      </c>
      <c r="X234" s="5">
        <f t="shared" si="43"/>
        <v>0</v>
      </c>
      <c r="Y234" s="5"/>
      <c r="AA234" s="63">
        <f t="shared" si="44"/>
        <v>0</v>
      </c>
      <c r="AB234" s="5">
        <f t="shared" si="45"/>
        <v>0</v>
      </c>
      <c r="AP234" s="3">
        <v>221</v>
      </c>
      <c r="AR234" s="14">
        <f t="shared" si="39"/>
        <v>0</v>
      </c>
      <c r="AS234" s="17" t="e">
        <f>IF(OR(AS233=0,AS233&gt;=#REF!),0,FV($O$1,AP234,-#REF!,0,1))</f>
        <v>#REF!</v>
      </c>
      <c r="AU234" s="5">
        <f t="shared" si="38"/>
        <v>0</v>
      </c>
    </row>
    <row r="235" spans="12:47" hidden="1" x14ac:dyDescent="0.25">
      <c r="L235" s="2" t="str">
        <f t="shared" si="47"/>
        <v/>
      </c>
      <c r="M235" s="45">
        <f t="shared" si="46"/>
        <v>17</v>
      </c>
      <c r="N235" s="36">
        <v>215</v>
      </c>
      <c r="O235" s="91">
        <f t="shared" si="40"/>
        <v>0</v>
      </c>
      <c r="P235" s="38">
        <f t="shared" si="41"/>
        <v>0</v>
      </c>
      <c r="W235" s="26">
        <f t="shared" si="42"/>
        <v>0</v>
      </c>
      <c r="X235" s="5">
        <f t="shared" si="43"/>
        <v>0</v>
      </c>
      <c r="Y235" s="5"/>
      <c r="AA235" s="63">
        <f t="shared" si="44"/>
        <v>0</v>
      </c>
      <c r="AB235" s="5">
        <f t="shared" si="45"/>
        <v>0</v>
      </c>
      <c r="AP235" s="3">
        <v>222</v>
      </c>
      <c r="AR235" s="14">
        <f t="shared" si="39"/>
        <v>0</v>
      </c>
      <c r="AS235" s="17" t="e">
        <f>IF(OR(AS234=0,AS234&gt;=#REF!),0,FV($O$1,AP235,-#REF!,0,1))</f>
        <v>#REF!</v>
      </c>
      <c r="AU235" s="5">
        <f t="shared" si="38"/>
        <v>0</v>
      </c>
    </row>
    <row r="236" spans="12:47" hidden="1" x14ac:dyDescent="0.25">
      <c r="L236" s="2" t="str">
        <f t="shared" si="47"/>
        <v/>
      </c>
      <c r="M236" s="45">
        <f t="shared" si="46"/>
        <v>17</v>
      </c>
      <c r="N236" s="36">
        <v>216</v>
      </c>
      <c r="O236" s="91">
        <f t="shared" si="40"/>
        <v>0</v>
      </c>
      <c r="P236" s="38">
        <f t="shared" si="41"/>
        <v>0</v>
      </c>
      <c r="W236" s="26">
        <f t="shared" si="42"/>
        <v>0</v>
      </c>
      <c r="X236" s="5">
        <f t="shared" si="43"/>
        <v>0</v>
      </c>
      <c r="Y236" s="5"/>
      <c r="AA236" s="63">
        <f t="shared" si="44"/>
        <v>0</v>
      </c>
      <c r="AB236" s="5">
        <f t="shared" si="45"/>
        <v>0</v>
      </c>
      <c r="AP236" s="3">
        <v>223</v>
      </c>
      <c r="AR236" s="14">
        <f t="shared" si="39"/>
        <v>0</v>
      </c>
      <c r="AS236" s="17" t="e">
        <f>IF(OR(AS235=0,AS235&gt;=#REF!),0,FV($O$1,AP236,-#REF!,0,1))</f>
        <v>#REF!</v>
      </c>
      <c r="AU236" s="5">
        <f t="shared" si="38"/>
        <v>0</v>
      </c>
    </row>
    <row r="237" spans="12:47" hidden="1" x14ac:dyDescent="0.25">
      <c r="L237" s="2" t="str">
        <f t="shared" si="47"/>
        <v/>
      </c>
      <c r="M237" s="45">
        <f t="shared" si="46"/>
        <v>18</v>
      </c>
      <c r="N237" s="36">
        <v>217</v>
      </c>
      <c r="O237" s="91">
        <f t="shared" si="40"/>
        <v>0</v>
      </c>
      <c r="P237" s="38">
        <f t="shared" si="41"/>
        <v>0</v>
      </c>
      <c r="W237" s="26">
        <f t="shared" si="42"/>
        <v>0</v>
      </c>
      <c r="X237" s="5">
        <f t="shared" si="43"/>
        <v>0</v>
      </c>
      <c r="Y237" s="5"/>
      <c r="AA237" s="63">
        <f t="shared" si="44"/>
        <v>0</v>
      </c>
      <c r="AB237" s="5">
        <f t="shared" si="45"/>
        <v>0</v>
      </c>
      <c r="AP237" s="3">
        <v>224</v>
      </c>
      <c r="AR237" s="14">
        <f t="shared" si="39"/>
        <v>0</v>
      </c>
      <c r="AS237" s="17" t="e">
        <f>IF(OR(AS236=0,AS236&gt;=#REF!),0,FV($O$1,AP237,-#REF!,0,1))</f>
        <v>#REF!</v>
      </c>
      <c r="AU237" s="5">
        <f t="shared" si="38"/>
        <v>0</v>
      </c>
    </row>
    <row r="238" spans="12:47" hidden="1" x14ac:dyDescent="0.25">
      <c r="L238" s="2" t="str">
        <f t="shared" si="47"/>
        <v/>
      </c>
      <c r="M238" s="45">
        <f t="shared" si="46"/>
        <v>18</v>
      </c>
      <c r="N238" s="36">
        <v>218</v>
      </c>
      <c r="O238" s="91">
        <f t="shared" si="40"/>
        <v>0</v>
      </c>
      <c r="P238" s="38">
        <f t="shared" si="41"/>
        <v>0</v>
      </c>
      <c r="W238" s="26">
        <f t="shared" si="42"/>
        <v>0</v>
      </c>
      <c r="X238" s="5">
        <f t="shared" si="43"/>
        <v>0</v>
      </c>
      <c r="Y238" s="5"/>
      <c r="AA238" s="63">
        <f t="shared" si="44"/>
        <v>0</v>
      </c>
      <c r="AB238" s="5">
        <f t="shared" si="45"/>
        <v>0</v>
      </c>
      <c r="AP238" s="3">
        <v>225</v>
      </c>
      <c r="AR238" s="14">
        <f t="shared" si="39"/>
        <v>0</v>
      </c>
      <c r="AS238" s="17" t="e">
        <f>IF(OR(AS237=0,AS237&gt;=#REF!),0,FV($O$1,AP238,-#REF!,0,1))</f>
        <v>#REF!</v>
      </c>
      <c r="AU238" s="5">
        <f t="shared" si="38"/>
        <v>0</v>
      </c>
    </row>
    <row r="239" spans="12:47" hidden="1" x14ac:dyDescent="0.25">
      <c r="L239" s="2" t="str">
        <f t="shared" si="47"/>
        <v/>
      </c>
      <c r="M239" s="45">
        <f t="shared" si="46"/>
        <v>18</v>
      </c>
      <c r="N239" s="36">
        <v>219</v>
      </c>
      <c r="O239" s="91">
        <f t="shared" si="40"/>
        <v>0</v>
      </c>
      <c r="P239" s="38">
        <f t="shared" si="41"/>
        <v>0</v>
      </c>
      <c r="W239" s="26">
        <f t="shared" si="42"/>
        <v>0</v>
      </c>
      <c r="X239" s="5">
        <f t="shared" si="43"/>
        <v>0</v>
      </c>
      <c r="Y239" s="5"/>
      <c r="AA239" s="63">
        <f t="shared" si="44"/>
        <v>0</v>
      </c>
      <c r="AB239" s="5">
        <f t="shared" si="45"/>
        <v>0</v>
      </c>
      <c r="AP239" s="3">
        <v>226</v>
      </c>
      <c r="AR239" s="14">
        <f t="shared" si="39"/>
        <v>0</v>
      </c>
      <c r="AS239" s="17" t="e">
        <f>IF(OR(AS238=0,AS238&gt;=#REF!),0,FV($O$1,AP239,-#REF!,0,1))</f>
        <v>#REF!</v>
      </c>
      <c r="AU239" s="5">
        <f t="shared" si="38"/>
        <v>0</v>
      </c>
    </row>
    <row r="240" spans="12:47" hidden="1" x14ac:dyDescent="0.25">
      <c r="L240" s="2" t="str">
        <f t="shared" si="47"/>
        <v/>
      </c>
      <c r="M240" s="45">
        <f t="shared" si="46"/>
        <v>18</v>
      </c>
      <c r="N240" s="36">
        <v>220</v>
      </c>
      <c r="O240" s="91">
        <f t="shared" si="40"/>
        <v>0</v>
      </c>
      <c r="P240" s="38">
        <f t="shared" si="41"/>
        <v>0</v>
      </c>
      <c r="W240" s="26">
        <f t="shared" si="42"/>
        <v>0</v>
      </c>
      <c r="X240" s="5">
        <f t="shared" si="43"/>
        <v>0</v>
      </c>
      <c r="Y240" s="5"/>
      <c r="AA240" s="63">
        <f t="shared" si="44"/>
        <v>0</v>
      </c>
      <c r="AB240" s="5">
        <f t="shared" si="45"/>
        <v>0</v>
      </c>
      <c r="AP240" s="3">
        <v>227</v>
      </c>
      <c r="AR240" s="14">
        <f t="shared" si="39"/>
        <v>0</v>
      </c>
      <c r="AS240" s="17" t="e">
        <f>IF(OR(AS239=0,AS239&gt;=#REF!),0,FV($O$1,AP240,-#REF!,0,1))</f>
        <v>#REF!</v>
      </c>
      <c r="AU240" s="5">
        <f t="shared" si="38"/>
        <v>0</v>
      </c>
    </row>
    <row r="241" spans="12:47" hidden="1" x14ac:dyDescent="0.25">
      <c r="L241" s="2" t="str">
        <f t="shared" si="47"/>
        <v/>
      </c>
      <c r="M241" s="45">
        <f t="shared" si="46"/>
        <v>18</v>
      </c>
      <c r="N241" s="36">
        <v>221</v>
      </c>
      <c r="O241" s="91">
        <f t="shared" si="40"/>
        <v>0</v>
      </c>
      <c r="P241" s="38">
        <f t="shared" si="41"/>
        <v>0</v>
      </c>
      <c r="W241" s="26">
        <f t="shared" si="42"/>
        <v>0</v>
      </c>
      <c r="X241" s="5">
        <f t="shared" si="43"/>
        <v>0</v>
      </c>
      <c r="Y241" s="5"/>
      <c r="AA241" s="63">
        <f t="shared" si="44"/>
        <v>0</v>
      </c>
      <c r="AB241" s="5">
        <f t="shared" si="45"/>
        <v>0</v>
      </c>
      <c r="AP241" s="3">
        <v>228</v>
      </c>
      <c r="AR241" s="14">
        <f t="shared" si="39"/>
        <v>0</v>
      </c>
      <c r="AS241" s="17" t="e">
        <f>IF(OR(AS240=0,AS240&gt;=#REF!),0,FV($O$1,AP241,-#REF!,0,1))</f>
        <v>#REF!</v>
      </c>
      <c r="AU241" s="5">
        <f t="shared" si="38"/>
        <v>0</v>
      </c>
    </row>
    <row r="242" spans="12:47" hidden="1" x14ac:dyDescent="0.25">
      <c r="L242" s="2" t="str">
        <f t="shared" si="47"/>
        <v/>
      </c>
      <c r="M242" s="45">
        <f t="shared" si="46"/>
        <v>18</v>
      </c>
      <c r="N242" s="36">
        <v>222</v>
      </c>
      <c r="O242" s="91">
        <f t="shared" si="40"/>
        <v>0</v>
      </c>
      <c r="P242" s="38">
        <f t="shared" si="41"/>
        <v>0</v>
      </c>
      <c r="W242" s="26">
        <f t="shared" si="42"/>
        <v>0</v>
      </c>
      <c r="X242" s="5">
        <f t="shared" si="43"/>
        <v>0</v>
      </c>
      <c r="Y242" s="5"/>
      <c r="AA242" s="63">
        <f t="shared" si="44"/>
        <v>0</v>
      </c>
      <c r="AB242" s="5">
        <f t="shared" si="45"/>
        <v>0</v>
      </c>
      <c r="AP242" s="3">
        <v>229</v>
      </c>
      <c r="AR242" s="14">
        <f t="shared" si="39"/>
        <v>0</v>
      </c>
      <c r="AS242" s="17" t="e">
        <f>IF(OR(AS241=0,AS241&gt;=#REF!),0,FV($O$1,AP242,-#REF!,0,1))</f>
        <v>#REF!</v>
      </c>
      <c r="AU242" s="5">
        <f t="shared" si="38"/>
        <v>0</v>
      </c>
    </row>
    <row r="243" spans="12:47" hidden="1" x14ac:dyDescent="0.25">
      <c r="L243" s="2" t="str">
        <f t="shared" si="47"/>
        <v/>
      </c>
      <c r="M243" s="45">
        <f t="shared" si="46"/>
        <v>18</v>
      </c>
      <c r="N243" s="36">
        <v>223</v>
      </c>
      <c r="O243" s="91">
        <f t="shared" si="40"/>
        <v>0</v>
      </c>
      <c r="P243" s="38">
        <f t="shared" si="41"/>
        <v>0</v>
      </c>
      <c r="W243" s="26">
        <f t="shared" si="42"/>
        <v>0</v>
      </c>
      <c r="X243" s="5">
        <f t="shared" si="43"/>
        <v>0</v>
      </c>
      <c r="Y243" s="5"/>
      <c r="AA243" s="63">
        <f t="shared" si="44"/>
        <v>0</v>
      </c>
      <c r="AB243" s="5">
        <f t="shared" si="45"/>
        <v>0</v>
      </c>
      <c r="AP243" s="3">
        <v>230</v>
      </c>
      <c r="AR243" s="14">
        <f t="shared" si="39"/>
        <v>0</v>
      </c>
      <c r="AS243" s="17" t="e">
        <f>IF(OR(AS242=0,AS242&gt;=#REF!),0,FV($O$1,AP243,-#REF!,0,1))</f>
        <v>#REF!</v>
      </c>
      <c r="AU243" s="5">
        <f t="shared" si="38"/>
        <v>0</v>
      </c>
    </row>
    <row r="244" spans="12:47" hidden="1" x14ac:dyDescent="0.25">
      <c r="L244" s="2" t="str">
        <f t="shared" si="47"/>
        <v/>
      </c>
      <c r="M244" s="45">
        <f t="shared" si="46"/>
        <v>18</v>
      </c>
      <c r="N244" s="36">
        <v>224</v>
      </c>
      <c r="O244" s="91">
        <f t="shared" si="40"/>
        <v>0</v>
      </c>
      <c r="P244" s="38">
        <f t="shared" si="41"/>
        <v>0</v>
      </c>
      <c r="W244" s="26">
        <f t="shared" si="42"/>
        <v>0</v>
      </c>
      <c r="X244" s="5">
        <f t="shared" si="43"/>
        <v>0</v>
      </c>
      <c r="Y244" s="5"/>
      <c r="AA244" s="63">
        <f t="shared" si="44"/>
        <v>0</v>
      </c>
      <c r="AB244" s="5">
        <f t="shared" si="45"/>
        <v>0</v>
      </c>
      <c r="AP244" s="3">
        <v>231</v>
      </c>
      <c r="AR244" s="14">
        <f t="shared" si="39"/>
        <v>0</v>
      </c>
      <c r="AS244" s="17" t="e">
        <f>IF(OR(AS243=0,AS243&gt;=#REF!),0,FV($O$1,AP244,-#REF!,0,1))</f>
        <v>#REF!</v>
      </c>
      <c r="AU244" s="5">
        <f t="shared" si="38"/>
        <v>0</v>
      </c>
    </row>
    <row r="245" spans="12:47" hidden="1" x14ac:dyDescent="0.25">
      <c r="L245" s="2" t="str">
        <f t="shared" si="47"/>
        <v/>
      </c>
      <c r="M245" s="45">
        <f t="shared" si="46"/>
        <v>18</v>
      </c>
      <c r="N245" s="36">
        <v>225</v>
      </c>
      <c r="O245" s="91">
        <f t="shared" si="40"/>
        <v>0</v>
      </c>
      <c r="P245" s="38">
        <f t="shared" si="41"/>
        <v>0</v>
      </c>
      <c r="W245" s="26">
        <f t="shared" si="42"/>
        <v>0</v>
      </c>
      <c r="X245" s="5">
        <f t="shared" si="43"/>
        <v>0</v>
      </c>
      <c r="Y245" s="5"/>
      <c r="AA245" s="63">
        <f t="shared" si="44"/>
        <v>0</v>
      </c>
      <c r="AB245" s="5">
        <f t="shared" si="45"/>
        <v>0</v>
      </c>
      <c r="AP245" s="3">
        <v>232</v>
      </c>
      <c r="AR245" s="14">
        <f t="shared" si="39"/>
        <v>0</v>
      </c>
      <c r="AS245" s="17" t="e">
        <f>IF(OR(AS244=0,AS244&gt;=#REF!),0,FV($O$1,AP245,-#REF!,0,1))</f>
        <v>#REF!</v>
      </c>
      <c r="AU245" s="5">
        <f t="shared" si="38"/>
        <v>0</v>
      </c>
    </row>
    <row r="246" spans="12:47" hidden="1" x14ac:dyDescent="0.25">
      <c r="L246" s="2" t="str">
        <f t="shared" si="47"/>
        <v/>
      </c>
      <c r="M246" s="45">
        <f t="shared" si="46"/>
        <v>18</v>
      </c>
      <c r="N246" s="36">
        <v>226</v>
      </c>
      <c r="O246" s="91">
        <f t="shared" si="40"/>
        <v>0</v>
      </c>
      <c r="P246" s="38">
        <f t="shared" si="41"/>
        <v>0</v>
      </c>
      <c r="W246" s="26">
        <f t="shared" si="42"/>
        <v>0</v>
      </c>
      <c r="X246" s="5">
        <f t="shared" si="43"/>
        <v>0</v>
      </c>
      <c r="Y246" s="5"/>
      <c r="AA246" s="63">
        <f t="shared" si="44"/>
        <v>0</v>
      </c>
      <c r="AB246" s="5">
        <f t="shared" si="45"/>
        <v>0</v>
      </c>
      <c r="AP246" s="3">
        <v>233</v>
      </c>
      <c r="AR246" s="14">
        <f t="shared" si="39"/>
        <v>0</v>
      </c>
      <c r="AS246" s="17" t="e">
        <f>IF(OR(AS245=0,AS245&gt;=#REF!),0,FV($O$1,AP246,-#REF!,0,1))</f>
        <v>#REF!</v>
      </c>
      <c r="AU246" s="5">
        <f t="shared" si="38"/>
        <v>0</v>
      </c>
    </row>
    <row r="247" spans="12:47" hidden="1" x14ac:dyDescent="0.25">
      <c r="L247" s="2" t="str">
        <f t="shared" si="47"/>
        <v/>
      </c>
      <c r="M247" s="45">
        <f t="shared" si="46"/>
        <v>18</v>
      </c>
      <c r="N247" s="36">
        <v>227</v>
      </c>
      <c r="O247" s="91">
        <f t="shared" si="40"/>
        <v>0</v>
      </c>
      <c r="P247" s="38">
        <f t="shared" si="41"/>
        <v>0</v>
      </c>
      <c r="W247" s="26">
        <f t="shared" si="42"/>
        <v>0</v>
      </c>
      <c r="X247" s="5">
        <f t="shared" si="43"/>
        <v>0</v>
      </c>
      <c r="Y247" s="5"/>
      <c r="AA247" s="63">
        <f t="shared" si="44"/>
        <v>0</v>
      </c>
      <c r="AB247" s="5">
        <f t="shared" si="45"/>
        <v>0</v>
      </c>
      <c r="AP247" s="3">
        <v>234</v>
      </c>
      <c r="AR247" s="14">
        <f t="shared" si="39"/>
        <v>0</v>
      </c>
      <c r="AS247" s="17" t="e">
        <f>IF(OR(AS246=0,AS246&gt;=#REF!),0,FV($O$1,AP247,-#REF!,0,1))</f>
        <v>#REF!</v>
      </c>
      <c r="AU247" s="5">
        <f t="shared" si="38"/>
        <v>0</v>
      </c>
    </row>
    <row r="248" spans="12:47" hidden="1" x14ac:dyDescent="0.25">
      <c r="L248" s="2" t="str">
        <f t="shared" si="47"/>
        <v/>
      </c>
      <c r="M248" s="45">
        <f t="shared" si="46"/>
        <v>18</v>
      </c>
      <c r="N248" s="36">
        <v>228</v>
      </c>
      <c r="O248" s="91">
        <f t="shared" si="40"/>
        <v>0</v>
      </c>
      <c r="P248" s="38">
        <f t="shared" si="41"/>
        <v>0</v>
      </c>
      <c r="W248" s="26">
        <f t="shared" si="42"/>
        <v>0</v>
      </c>
      <c r="X248" s="5">
        <f t="shared" si="43"/>
        <v>0</v>
      </c>
      <c r="Y248" s="5"/>
      <c r="AA248" s="63">
        <f t="shared" si="44"/>
        <v>0</v>
      </c>
      <c r="AB248" s="5">
        <f t="shared" si="45"/>
        <v>0</v>
      </c>
      <c r="AP248" s="3">
        <v>235</v>
      </c>
      <c r="AR248" s="14">
        <f t="shared" si="39"/>
        <v>0</v>
      </c>
      <c r="AS248" s="17" t="e">
        <f>IF(OR(AS247=0,AS247&gt;=#REF!),0,FV($O$1,AP248,-#REF!,0,1))</f>
        <v>#REF!</v>
      </c>
      <c r="AU248" s="5">
        <f t="shared" si="38"/>
        <v>0</v>
      </c>
    </row>
    <row r="249" spans="12:47" hidden="1" x14ac:dyDescent="0.25">
      <c r="L249" s="2" t="str">
        <f t="shared" si="47"/>
        <v/>
      </c>
      <c r="M249" s="45">
        <f t="shared" si="46"/>
        <v>19</v>
      </c>
      <c r="N249" s="36">
        <v>229</v>
      </c>
      <c r="O249" s="91">
        <f t="shared" si="40"/>
        <v>0</v>
      </c>
      <c r="P249" s="38">
        <f t="shared" si="41"/>
        <v>0</v>
      </c>
      <c r="W249" s="26">
        <f t="shared" si="42"/>
        <v>0</v>
      </c>
      <c r="X249" s="5">
        <f t="shared" si="43"/>
        <v>0</v>
      </c>
      <c r="Y249" s="5"/>
      <c r="AA249" s="63">
        <f t="shared" si="44"/>
        <v>0</v>
      </c>
      <c r="AB249" s="5">
        <f t="shared" si="45"/>
        <v>0</v>
      </c>
      <c r="AP249" s="3">
        <v>236</v>
      </c>
      <c r="AR249" s="14">
        <f t="shared" si="39"/>
        <v>0</v>
      </c>
      <c r="AS249" s="17" t="e">
        <f>IF(OR(AS248=0,AS248&gt;=#REF!),0,FV($O$1,AP249,-#REF!,0,1))</f>
        <v>#REF!</v>
      </c>
      <c r="AU249" s="5">
        <f t="shared" si="38"/>
        <v>0</v>
      </c>
    </row>
    <row r="250" spans="12:47" hidden="1" x14ac:dyDescent="0.25">
      <c r="L250" s="2" t="str">
        <f t="shared" si="47"/>
        <v/>
      </c>
      <c r="M250" s="45">
        <f t="shared" si="46"/>
        <v>19</v>
      </c>
      <c r="N250" s="36">
        <v>230</v>
      </c>
      <c r="O250" s="91">
        <f t="shared" si="40"/>
        <v>0</v>
      </c>
      <c r="P250" s="38">
        <f t="shared" si="41"/>
        <v>0</v>
      </c>
      <c r="W250" s="26">
        <f t="shared" si="42"/>
        <v>0</v>
      </c>
      <c r="X250" s="5">
        <f t="shared" si="43"/>
        <v>0</v>
      </c>
      <c r="Y250" s="5"/>
      <c r="AA250" s="63">
        <f t="shared" si="44"/>
        <v>0</v>
      </c>
      <c r="AB250" s="5">
        <f t="shared" si="45"/>
        <v>0</v>
      </c>
      <c r="AP250" s="3">
        <v>237</v>
      </c>
      <c r="AR250" s="14">
        <f t="shared" si="39"/>
        <v>0</v>
      </c>
      <c r="AS250" s="17" t="e">
        <f>IF(OR(AS249=0,AS249&gt;=#REF!),0,FV($O$1,AP250,-#REF!,0,1))</f>
        <v>#REF!</v>
      </c>
      <c r="AU250" s="5">
        <f t="shared" si="38"/>
        <v>0</v>
      </c>
    </row>
    <row r="251" spans="12:47" hidden="1" x14ac:dyDescent="0.25">
      <c r="L251" s="2" t="str">
        <f t="shared" si="47"/>
        <v/>
      </c>
      <c r="M251" s="45">
        <f t="shared" si="46"/>
        <v>19</v>
      </c>
      <c r="N251" s="36">
        <v>231</v>
      </c>
      <c r="O251" s="91">
        <f t="shared" si="40"/>
        <v>0</v>
      </c>
      <c r="P251" s="38">
        <f t="shared" si="41"/>
        <v>0</v>
      </c>
      <c r="W251" s="26">
        <f t="shared" si="42"/>
        <v>0</v>
      </c>
      <c r="X251" s="5">
        <f t="shared" si="43"/>
        <v>0</v>
      </c>
      <c r="Y251" s="5"/>
      <c r="AA251" s="63">
        <f t="shared" si="44"/>
        <v>0</v>
      </c>
      <c r="AB251" s="5">
        <f t="shared" si="45"/>
        <v>0</v>
      </c>
      <c r="AP251" s="3">
        <v>238</v>
      </c>
      <c r="AR251" s="14">
        <f t="shared" si="39"/>
        <v>0</v>
      </c>
      <c r="AS251" s="17" t="e">
        <f>IF(OR(AS250=0,AS250&gt;=#REF!),0,FV($O$1,AP251,-#REF!,0,1))</f>
        <v>#REF!</v>
      </c>
      <c r="AU251" s="5">
        <f t="shared" si="38"/>
        <v>0</v>
      </c>
    </row>
    <row r="252" spans="12:47" hidden="1" x14ac:dyDescent="0.25">
      <c r="L252" s="2" t="str">
        <f t="shared" si="47"/>
        <v/>
      </c>
      <c r="M252" s="45">
        <f t="shared" si="46"/>
        <v>19</v>
      </c>
      <c r="N252" s="36">
        <v>232</v>
      </c>
      <c r="O252" s="91">
        <f t="shared" si="40"/>
        <v>0</v>
      </c>
      <c r="P252" s="38">
        <f t="shared" si="41"/>
        <v>0</v>
      </c>
      <c r="W252" s="26">
        <f t="shared" si="42"/>
        <v>0</v>
      </c>
      <c r="X252" s="5">
        <f t="shared" si="43"/>
        <v>0</v>
      </c>
      <c r="Y252" s="5"/>
      <c r="AA252" s="63">
        <f t="shared" si="44"/>
        <v>0</v>
      </c>
      <c r="AB252" s="5">
        <f t="shared" si="45"/>
        <v>0</v>
      </c>
      <c r="AP252" s="3">
        <v>239</v>
      </c>
      <c r="AR252" s="14">
        <f t="shared" si="39"/>
        <v>0</v>
      </c>
      <c r="AS252" s="17" t="e">
        <f>IF(OR(AS251=0,AS251&gt;=#REF!),0,FV($O$1,AP252,-#REF!,0,1))</f>
        <v>#REF!</v>
      </c>
      <c r="AU252" s="5">
        <f t="shared" si="38"/>
        <v>0</v>
      </c>
    </row>
    <row r="253" spans="12:47" hidden="1" x14ac:dyDescent="0.25">
      <c r="L253" s="2" t="str">
        <f t="shared" si="47"/>
        <v/>
      </c>
      <c r="M253" s="45">
        <f t="shared" si="46"/>
        <v>19</v>
      </c>
      <c r="N253" s="36">
        <v>233</v>
      </c>
      <c r="O253" s="91">
        <f t="shared" si="40"/>
        <v>0</v>
      </c>
      <c r="P253" s="38">
        <f t="shared" si="41"/>
        <v>0</v>
      </c>
      <c r="W253" s="26">
        <f t="shared" si="42"/>
        <v>0</v>
      </c>
      <c r="X253" s="5">
        <f t="shared" si="43"/>
        <v>0</v>
      </c>
      <c r="Y253" s="5"/>
      <c r="AA253" s="63">
        <f t="shared" si="44"/>
        <v>0</v>
      </c>
      <c r="AB253" s="5">
        <f t="shared" si="45"/>
        <v>0</v>
      </c>
      <c r="AP253" s="3">
        <v>240</v>
      </c>
      <c r="AR253" s="14">
        <f t="shared" si="39"/>
        <v>0</v>
      </c>
      <c r="AS253" s="17" t="e">
        <f>IF(OR(AS252=0,AS252&gt;=#REF!),0,FV($O$1,AP253,-#REF!,0,1))</f>
        <v>#REF!</v>
      </c>
      <c r="AU253" s="5">
        <f t="shared" si="38"/>
        <v>0</v>
      </c>
    </row>
    <row r="254" spans="12:47" hidden="1" x14ac:dyDescent="0.25">
      <c r="L254" s="2" t="str">
        <f t="shared" si="47"/>
        <v/>
      </c>
      <c r="M254" s="45">
        <f t="shared" si="46"/>
        <v>19</v>
      </c>
      <c r="N254" s="36">
        <v>234</v>
      </c>
      <c r="O254" s="91">
        <f t="shared" si="40"/>
        <v>0</v>
      </c>
      <c r="P254" s="38">
        <f t="shared" si="41"/>
        <v>0</v>
      </c>
      <c r="W254" s="26">
        <f t="shared" si="42"/>
        <v>0</v>
      </c>
      <c r="X254" s="5">
        <f t="shared" si="43"/>
        <v>0</v>
      </c>
      <c r="Y254" s="5"/>
      <c r="AA254" s="63">
        <f t="shared" si="44"/>
        <v>0</v>
      </c>
      <c r="AB254" s="5">
        <f t="shared" si="45"/>
        <v>0</v>
      </c>
      <c r="AP254" s="3">
        <v>241</v>
      </c>
      <c r="AR254" s="14">
        <f t="shared" si="39"/>
        <v>0</v>
      </c>
      <c r="AS254" s="17" t="e">
        <f>IF(OR(AS253=0,AS253&gt;=#REF!),0,FV($O$1,AP254,-#REF!,0,1))</f>
        <v>#REF!</v>
      </c>
      <c r="AU254" s="5">
        <f t="shared" si="38"/>
        <v>0</v>
      </c>
    </row>
    <row r="255" spans="12:47" hidden="1" x14ac:dyDescent="0.25">
      <c r="L255" s="2" t="str">
        <f t="shared" si="47"/>
        <v/>
      </c>
      <c r="M255" s="45">
        <f t="shared" si="46"/>
        <v>19</v>
      </c>
      <c r="N255" s="36">
        <v>235</v>
      </c>
      <c r="O255" s="91">
        <f t="shared" si="40"/>
        <v>0</v>
      </c>
      <c r="P255" s="38">
        <f t="shared" si="41"/>
        <v>0</v>
      </c>
      <c r="W255" s="26">
        <f t="shared" si="42"/>
        <v>0</v>
      </c>
      <c r="X255" s="5">
        <f t="shared" si="43"/>
        <v>0</v>
      </c>
      <c r="Y255" s="5"/>
      <c r="AA255" s="63">
        <f t="shared" si="44"/>
        <v>0</v>
      </c>
      <c r="AB255" s="5">
        <f t="shared" si="45"/>
        <v>0</v>
      </c>
      <c r="AP255" s="3">
        <v>242</v>
      </c>
      <c r="AR255" s="14">
        <f t="shared" si="39"/>
        <v>0</v>
      </c>
      <c r="AS255" s="17" t="e">
        <f>IF(OR(AS254=0,AS254&gt;=#REF!),0,FV($O$1,AP255,-#REF!,0,1))</f>
        <v>#REF!</v>
      </c>
      <c r="AU255" s="5">
        <f t="shared" si="38"/>
        <v>0</v>
      </c>
    </row>
    <row r="256" spans="12:47" hidden="1" x14ac:dyDescent="0.25">
      <c r="L256" s="2" t="str">
        <f t="shared" si="47"/>
        <v/>
      </c>
      <c r="M256" s="45">
        <f t="shared" si="46"/>
        <v>19</v>
      </c>
      <c r="N256" s="36">
        <v>236</v>
      </c>
      <c r="O256" s="91">
        <f t="shared" si="40"/>
        <v>0</v>
      </c>
      <c r="P256" s="38">
        <f t="shared" si="41"/>
        <v>0</v>
      </c>
      <c r="W256" s="26">
        <f t="shared" si="42"/>
        <v>0</v>
      </c>
      <c r="X256" s="5">
        <f t="shared" si="43"/>
        <v>0</v>
      </c>
      <c r="Y256" s="5"/>
      <c r="AA256" s="63">
        <f t="shared" si="44"/>
        <v>0</v>
      </c>
      <c r="AB256" s="5">
        <f t="shared" si="45"/>
        <v>0</v>
      </c>
      <c r="AP256" s="3">
        <v>243</v>
      </c>
      <c r="AR256" s="14">
        <f t="shared" si="39"/>
        <v>0</v>
      </c>
      <c r="AS256" s="17" t="e">
        <f>IF(OR(AS255=0,AS255&gt;=#REF!),0,FV($O$1,AP256,-#REF!,0,1))</f>
        <v>#REF!</v>
      </c>
      <c r="AU256" s="5">
        <f t="shared" si="38"/>
        <v>0</v>
      </c>
    </row>
    <row r="257" spans="12:47" hidden="1" x14ac:dyDescent="0.25">
      <c r="L257" s="2" t="str">
        <f t="shared" si="47"/>
        <v/>
      </c>
      <c r="M257" s="45">
        <f t="shared" si="46"/>
        <v>19</v>
      </c>
      <c r="N257" s="36">
        <v>237</v>
      </c>
      <c r="O257" s="91">
        <f t="shared" si="40"/>
        <v>0</v>
      </c>
      <c r="P257" s="38">
        <f t="shared" si="41"/>
        <v>0</v>
      </c>
      <c r="W257" s="26">
        <f t="shared" si="42"/>
        <v>0</v>
      </c>
      <c r="X257" s="5">
        <f t="shared" si="43"/>
        <v>0</v>
      </c>
      <c r="Y257" s="5"/>
      <c r="AA257" s="63">
        <f t="shared" si="44"/>
        <v>0</v>
      </c>
      <c r="AB257" s="5">
        <f t="shared" si="45"/>
        <v>0</v>
      </c>
      <c r="AP257" s="3">
        <v>244</v>
      </c>
      <c r="AR257" s="14">
        <f t="shared" si="39"/>
        <v>0</v>
      </c>
      <c r="AS257" s="17" t="e">
        <f>IF(OR(AS256=0,AS256&gt;=#REF!),0,FV($O$1,AP257,-#REF!,0,1))</f>
        <v>#REF!</v>
      </c>
      <c r="AU257" s="5">
        <f t="shared" si="38"/>
        <v>0</v>
      </c>
    </row>
    <row r="258" spans="12:47" hidden="1" x14ac:dyDescent="0.25">
      <c r="L258" s="2" t="str">
        <f t="shared" si="47"/>
        <v/>
      </c>
      <c r="M258" s="45">
        <f t="shared" si="46"/>
        <v>19</v>
      </c>
      <c r="N258" s="36">
        <v>238</v>
      </c>
      <c r="O258" s="91">
        <f t="shared" si="40"/>
        <v>0</v>
      </c>
      <c r="P258" s="38">
        <f t="shared" si="41"/>
        <v>0</v>
      </c>
      <c r="W258" s="26">
        <f t="shared" si="42"/>
        <v>0</v>
      </c>
      <c r="X258" s="5">
        <f t="shared" si="43"/>
        <v>0</v>
      </c>
      <c r="Y258" s="5"/>
      <c r="AA258" s="63">
        <f t="shared" si="44"/>
        <v>0</v>
      </c>
      <c r="AB258" s="5">
        <f t="shared" si="45"/>
        <v>0</v>
      </c>
      <c r="AP258" s="3">
        <v>245</v>
      </c>
      <c r="AR258" s="14">
        <f t="shared" si="39"/>
        <v>0</v>
      </c>
      <c r="AS258" s="17" t="e">
        <f>IF(OR(AS257=0,AS257&gt;=#REF!),0,FV($O$1,AP258,-#REF!,0,1))</f>
        <v>#REF!</v>
      </c>
      <c r="AU258" s="5">
        <f t="shared" si="38"/>
        <v>0</v>
      </c>
    </row>
    <row r="259" spans="12:47" hidden="1" x14ac:dyDescent="0.25">
      <c r="L259" s="2" t="str">
        <f t="shared" si="47"/>
        <v/>
      </c>
      <c r="M259" s="45">
        <f t="shared" si="46"/>
        <v>19</v>
      </c>
      <c r="N259" s="36">
        <v>239</v>
      </c>
      <c r="O259" s="91">
        <f t="shared" si="40"/>
        <v>0</v>
      </c>
      <c r="P259" s="38">
        <f t="shared" si="41"/>
        <v>0</v>
      </c>
      <c r="W259" s="26">
        <f t="shared" si="42"/>
        <v>0</v>
      </c>
      <c r="X259" s="5">
        <f t="shared" si="43"/>
        <v>0</v>
      </c>
      <c r="Y259" s="5"/>
      <c r="AA259" s="63">
        <f t="shared" si="44"/>
        <v>0</v>
      </c>
      <c r="AB259" s="5">
        <f t="shared" si="45"/>
        <v>0</v>
      </c>
      <c r="AP259" s="3">
        <v>246</v>
      </c>
      <c r="AR259" s="14">
        <f t="shared" si="39"/>
        <v>0</v>
      </c>
      <c r="AS259" s="17" t="e">
        <f>IF(OR(AS258=0,AS258&gt;=#REF!),0,FV($O$1,AP259,-#REF!,0,1))</f>
        <v>#REF!</v>
      </c>
      <c r="AU259" s="5">
        <f t="shared" si="38"/>
        <v>0</v>
      </c>
    </row>
    <row r="260" spans="12:47" hidden="1" x14ac:dyDescent="0.25">
      <c r="L260" s="2" t="str">
        <f t="shared" si="47"/>
        <v/>
      </c>
      <c r="M260" s="45">
        <f t="shared" si="46"/>
        <v>19</v>
      </c>
      <c r="N260" s="36">
        <v>240</v>
      </c>
      <c r="O260" s="91">
        <f t="shared" si="40"/>
        <v>0</v>
      </c>
      <c r="P260" s="38">
        <f t="shared" si="41"/>
        <v>0</v>
      </c>
      <c r="W260" s="26">
        <f t="shared" si="42"/>
        <v>0</v>
      </c>
      <c r="X260" s="5">
        <f t="shared" si="43"/>
        <v>0</v>
      </c>
      <c r="Y260" s="5"/>
      <c r="AA260" s="63">
        <f t="shared" si="44"/>
        <v>0</v>
      </c>
      <c r="AB260" s="5">
        <f t="shared" si="45"/>
        <v>0</v>
      </c>
      <c r="AP260" s="3">
        <v>247</v>
      </c>
      <c r="AR260" s="14">
        <f t="shared" si="39"/>
        <v>0</v>
      </c>
      <c r="AS260" s="17" t="e">
        <f>IF(OR(AS259=0,AS259&gt;=#REF!),0,FV($O$1,AP260,-#REF!,0,1))</f>
        <v>#REF!</v>
      </c>
      <c r="AU260" s="5">
        <f t="shared" si="38"/>
        <v>0</v>
      </c>
    </row>
    <row r="261" spans="12:47" hidden="1" x14ac:dyDescent="0.25">
      <c r="L261" s="2" t="str">
        <f t="shared" si="47"/>
        <v/>
      </c>
      <c r="M261" s="45">
        <f t="shared" si="46"/>
        <v>20</v>
      </c>
      <c r="N261" s="36">
        <v>241</v>
      </c>
      <c r="O261" s="91">
        <f t="shared" si="40"/>
        <v>0</v>
      </c>
      <c r="P261" s="38">
        <f t="shared" si="41"/>
        <v>0</v>
      </c>
      <c r="W261" s="26">
        <f t="shared" si="42"/>
        <v>0</v>
      </c>
      <c r="X261" s="5">
        <f t="shared" si="43"/>
        <v>0</v>
      </c>
      <c r="Y261" s="5"/>
      <c r="AA261" s="63">
        <f t="shared" si="44"/>
        <v>0</v>
      </c>
      <c r="AB261" s="5">
        <f t="shared" si="45"/>
        <v>0</v>
      </c>
      <c r="AP261" s="3">
        <v>248</v>
      </c>
      <c r="AR261" s="14">
        <f t="shared" si="39"/>
        <v>0</v>
      </c>
      <c r="AS261" s="17" t="e">
        <f>IF(OR(AS260=0,AS260&gt;=#REF!),0,FV($O$1,AP261,-#REF!,0,1))</f>
        <v>#REF!</v>
      </c>
      <c r="AU261" s="5">
        <f t="shared" si="38"/>
        <v>0</v>
      </c>
    </row>
    <row r="262" spans="12:47" hidden="1" x14ac:dyDescent="0.25">
      <c r="L262" s="2" t="str">
        <f t="shared" si="47"/>
        <v/>
      </c>
      <c r="M262" s="45">
        <f t="shared" si="46"/>
        <v>20</v>
      </c>
      <c r="N262" s="36">
        <v>242</v>
      </c>
      <c r="O262" s="91">
        <f t="shared" si="40"/>
        <v>0</v>
      </c>
      <c r="P262" s="38">
        <f t="shared" si="41"/>
        <v>0</v>
      </c>
      <c r="W262" s="26">
        <f t="shared" si="42"/>
        <v>0</v>
      </c>
      <c r="X262" s="5">
        <f t="shared" si="43"/>
        <v>0</v>
      </c>
      <c r="Y262" s="5"/>
      <c r="AA262" s="63">
        <f t="shared" si="44"/>
        <v>0</v>
      </c>
      <c r="AB262" s="5">
        <f t="shared" si="45"/>
        <v>0</v>
      </c>
      <c r="AP262" s="3">
        <v>249</v>
      </c>
      <c r="AR262" s="14">
        <f t="shared" si="39"/>
        <v>0</v>
      </c>
      <c r="AS262" s="17" t="e">
        <f>IF(OR(AS261=0,AS261&gt;=#REF!),0,FV($O$1,AP262,-#REF!,0,1))</f>
        <v>#REF!</v>
      </c>
      <c r="AU262" s="5">
        <f t="shared" si="38"/>
        <v>0</v>
      </c>
    </row>
    <row r="263" spans="12:47" hidden="1" x14ac:dyDescent="0.25">
      <c r="L263" s="2" t="str">
        <f t="shared" si="47"/>
        <v/>
      </c>
      <c r="M263" s="45">
        <f t="shared" si="46"/>
        <v>20</v>
      </c>
      <c r="N263" s="36">
        <v>243</v>
      </c>
      <c r="O263" s="91">
        <f t="shared" si="40"/>
        <v>0</v>
      </c>
      <c r="P263" s="38">
        <f t="shared" si="41"/>
        <v>0</v>
      </c>
      <c r="W263" s="26">
        <f t="shared" si="42"/>
        <v>0</v>
      </c>
      <c r="X263" s="5">
        <f t="shared" si="43"/>
        <v>0</v>
      </c>
      <c r="Y263" s="5"/>
      <c r="AA263" s="63">
        <f t="shared" si="44"/>
        <v>0</v>
      </c>
      <c r="AB263" s="5">
        <f t="shared" si="45"/>
        <v>0</v>
      </c>
      <c r="AP263" s="3">
        <v>250</v>
      </c>
      <c r="AR263" s="14">
        <f t="shared" si="39"/>
        <v>0</v>
      </c>
      <c r="AS263" s="17" t="e">
        <f>IF(OR(AS262=0,AS262&gt;=#REF!),0,FV($O$1,AP263,-#REF!,0,1))</f>
        <v>#REF!</v>
      </c>
      <c r="AU263" s="5">
        <f t="shared" si="38"/>
        <v>0</v>
      </c>
    </row>
    <row r="264" spans="12:47" hidden="1" x14ac:dyDescent="0.25">
      <c r="L264" s="2" t="str">
        <f t="shared" si="47"/>
        <v/>
      </c>
      <c r="M264" s="45">
        <f t="shared" si="46"/>
        <v>20</v>
      </c>
      <c r="N264" s="36">
        <v>244</v>
      </c>
      <c r="O264" s="91">
        <f t="shared" si="40"/>
        <v>0</v>
      </c>
      <c r="P264" s="38">
        <f t="shared" si="41"/>
        <v>0</v>
      </c>
      <c r="W264" s="26">
        <f t="shared" si="42"/>
        <v>0</v>
      </c>
      <c r="X264" s="5">
        <f t="shared" si="43"/>
        <v>0</v>
      </c>
      <c r="Y264" s="5"/>
      <c r="AA264" s="63">
        <f t="shared" si="44"/>
        <v>0</v>
      </c>
      <c r="AB264" s="5">
        <f t="shared" si="45"/>
        <v>0</v>
      </c>
      <c r="AP264" s="3">
        <v>251</v>
      </c>
      <c r="AR264" s="14">
        <f t="shared" si="39"/>
        <v>0</v>
      </c>
      <c r="AS264" s="17" t="e">
        <f>IF(OR(AS263=0,AS263&gt;=#REF!),0,FV($O$1,AP264,-#REF!,0,1))</f>
        <v>#REF!</v>
      </c>
      <c r="AU264" s="5">
        <f t="shared" si="38"/>
        <v>0</v>
      </c>
    </row>
    <row r="265" spans="12:47" hidden="1" x14ac:dyDescent="0.25">
      <c r="L265" s="2" t="str">
        <f t="shared" si="47"/>
        <v/>
      </c>
      <c r="M265" s="45">
        <f t="shared" si="46"/>
        <v>20</v>
      </c>
      <c r="N265" s="36">
        <v>245</v>
      </c>
      <c r="O265" s="91">
        <f t="shared" si="40"/>
        <v>0</v>
      </c>
      <c r="P265" s="38">
        <f t="shared" si="41"/>
        <v>0</v>
      </c>
      <c r="W265" s="26">
        <f t="shared" si="42"/>
        <v>0</v>
      </c>
      <c r="X265" s="5">
        <f t="shared" si="43"/>
        <v>0</v>
      </c>
      <c r="Y265" s="5"/>
      <c r="AA265" s="63">
        <f t="shared" si="44"/>
        <v>0</v>
      </c>
      <c r="AB265" s="5">
        <f t="shared" si="45"/>
        <v>0</v>
      </c>
      <c r="AP265" s="3">
        <v>252</v>
      </c>
      <c r="AR265" s="14">
        <f t="shared" si="39"/>
        <v>0</v>
      </c>
      <c r="AS265" s="17" t="e">
        <f>IF(OR(AS264=0,AS264&gt;=#REF!),0,FV($O$1,AP265,-#REF!,0,1))</f>
        <v>#REF!</v>
      </c>
      <c r="AU265" s="5">
        <f t="shared" si="38"/>
        <v>0</v>
      </c>
    </row>
    <row r="266" spans="12:47" hidden="1" x14ac:dyDescent="0.25">
      <c r="L266" s="2" t="str">
        <f t="shared" si="47"/>
        <v/>
      </c>
      <c r="M266" s="45">
        <f t="shared" si="46"/>
        <v>20</v>
      </c>
      <c r="N266" s="36">
        <v>246</v>
      </c>
      <c r="O266" s="91">
        <f t="shared" si="40"/>
        <v>0</v>
      </c>
      <c r="P266" s="38">
        <f t="shared" si="41"/>
        <v>0</v>
      </c>
      <c r="W266" s="26">
        <f t="shared" si="42"/>
        <v>0</v>
      </c>
      <c r="X266" s="5">
        <f t="shared" si="43"/>
        <v>0</v>
      </c>
      <c r="Y266" s="5"/>
      <c r="AA266" s="63">
        <f t="shared" si="44"/>
        <v>0</v>
      </c>
      <c r="AB266" s="5">
        <f t="shared" si="45"/>
        <v>0</v>
      </c>
      <c r="AP266" s="3">
        <v>253</v>
      </c>
      <c r="AR266" s="14">
        <f t="shared" si="39"/>
        <v>0</v>
      </c>
      <c r="AS266" s="17" t="e">
        <f>IF(OR(AS265=0,AS265&gt;=#REF!),0,FV($O$1,AP266,-#REF!,0,1))</f>
        <v>#REF!</v>
      </c>
      <c r="AU266" s="5">
        <f t="shared" si="38"/>
        <v>0</v>
      </c>
    </row>
    <row r="267" spans="12:47" hidden="1" x14ac:dyDescent="0.25">
      <c r="L267" s="2" t="str">
        <f t="shared" si="47"/>
        <v/>
      </c>
      <c r="M267" s="45">
        <f t="shared" si="46"/>
        <v>20</v>
      </c>
      <c r="N267" s="36">
        <v>247</v>
      </c>
      <c r="O267" s="91">
        <f t="shared" si="40"/>
        <v>0</v>
      </c>
      <c r="P267" s="38">
        <f t="shared" si="41"/>
        <v>0</v>
      </c>
      <c r="W267" s="26">
        <f t="shared" si="42"/>
        <v>0</v>
      </c>
      <c r="X267" s="5">
        <f t="shared" si="43"/>
        <v>0</v>
      </c>
      <c r="Y267" s="5"/>
      <c r="AA267" s="63">
        <f t="shared" si="44"/>
        <v>0</v>
      </c>
      <c r="AB267" s="5">
        <f t="shared" si="45"/>
        <v>0</v>
      </c>
      <c r="AP267" s="3">
        <v>254</v>
      </c>
      <c r="AR267" s="14">
        <f t="shared" si="39"/>
        <v>0</v>
      </c>
      <c r="AS267" s="17" t="e">
        <f>IF(OR(AS266=0,AS266&gt;=#REF!),0,FV($O$1,AP267,-#REF!,0,1))</f>
        <v>#REF!</v>
      </c>
      <c r="AU267" s="5">
        <f t="shared" si="38"/>
        <v>0</v>
      </c>
    </row>
    <row r="268" spans="12:47" hidden="1" x14ac:dyDescent="0.25">
      <c r="L268" s="2" t="str">
        <f t="shared" si="47"/>
        <v/>
      </c>
      <c r="M268" s="45">
        <f t="shared" si="46"/>
        <v>20</v>
      </c>
      <c r="N268" s="36">
        <v>248</v>
      </c>
      <c r="O268" s="91">
        <f t="shared" si="40"/>
        <v>0</v>
      </c>
      <c r="P268" s="38">
        <f t="shared" si="41"/>
        <v>0</v>
      </c>
      <c r="W268" s="26">
        <f t="shared" si="42"/>
        <v>0</v>
      </c>
      <c r="X268" s="5">
        <f t="shared" si="43"/>
        <v>0</v>
      </c>
      <c r="Y268" s="5"/>
      <c r="AA268" s="63">
        <f t="shared" si="44"/>
        <v>0</v>
      </c>
      <c r="AB268" s="5">
        <f t="shared" si="45"/>
        <v>0</v>
      </c>
      <c r="AP268" s="3">
        <v>255</v>
      </c>
      <c r="AR268" s="14">
        <f t="shared" si="39"/>
        <v>0</v>
      </c>
      <c r="AS268" s="17" t="e">
        <f>IF(OR(AS267=0,AS267&gt;=#REF!),0,FV($O$1,AP268,-#REF!,0,1))</f>
        <v>#REF!</v>
      </c>
      <c r="AU268" s="5">
        <f t="shared" si="38"/>
        <v>0</v>
      </c>
    </row>
    <row r="269" spans="12:47" hidden="1" x14ac:dyDescent="0.25">
      <c r="L269" s="2" t="str">
        <f t="shared" si="47"/>
        <v/>
      </c>
      <c r="M269" s="45">
        <f t="shared" si="46"/>
        <v>20</v>
      </c>
      <c r="N269" s="36">
        <v>249</v>
      </c>
      <c r="O269" s="91">
        <f t="shared" si="40"/>
        <v>0</v>
      </c>
      <c r="P269" s="38">
        <f t="shared" si="41"/>
        <v>0</v>
      </c>
      <c r="W269" s="26">
        <f t="shared" si="42"/>
        <v>0</v>
      </c>
      <c r="X269" s="5">
        <f t="shared" si="43"/>
        <v>0</v>
      </c>
      <c r="Y269" s="5"/>
      <c r="AA269" s="63">
        <f t="shared" si="44"/>
        <v>0</v>
      </c>
      <c r="AB269" s="5">
        <f t="shared" si="45"/>
        <v>0</v>
      </c>
      <c r="AP269" s="3">
        <v>256</v>
      </c>
      <c r="AR269" s="14">
        <f t="shared" si="39"/>
        <v>0</v>
      </c>
      <c r="AS269" s="17" t="e">
        <f>IF(OR(AS268=0,AS268&gt;=#REF!),0,FV($O$1,AP269,-#REF!,0,1))</f>
        <v>#REF!</v>
      </c>
      <c r="AU269" s="5">
        <f t="shared" si="38"/>
        <v>0</v>
      </c>
    </row>
    <row r="270" spans="12:47" hidden="1" x14ac:dyDescent="0.25">
      <c r="L270" s="2" t="str">
        <f t="shared" si="47"/>
        <v/>
      </c>
      <c r="M270" s="45">
        <f t="shared" si="46"/>
        <v>20</v>
      </c>
      <c r="N270" s="36">
        <v>250</v>
      </c>
      <c r="O270" s="91">
        <f t="shared" si="40"/>
        <v>0</v>
      </c>
      <c r="P270" s="38">
        <f t="shared" si="41"/>
        <v>0</v>
      </c>
      <c r="W270" s="26">
        <f t="shared" si="42"/>
        <v>0</v>
      </c>
      <c r="X270" s="5">
        <f t="shared" si="43"/>
        <v>0</v>
      </c>
      <c r="Y270" s="5"/>
      <c r="AA270" s="63">
        <f t="shared" si="44"/>
        <v>0</v>
      </c>
      <c r="AB270" s="5">
        <f t="shared" si="45"/>
        <v>0</v>
      </c>
      <c r="AP270" s="3">
        <v>257</v>
      </c>
      <c r="AR270" s="14">
        <f t="shared" si="39"/>
        <v>0</v>
      </c>
      <c r="AS270" s="17" t="e">
        <f>IF(OR(AS269=0,AS269&gt;=#REF!),0,FV($O$1,AP270,-#REF!,0,1))</f>
        <v>#REF!</v>
      </c>
      <c r="AU270" s="5">
        <f t="shared" si="38"/>
        <v>0</v>
      </c>
    </row>
    <row r="271" spans="12:47" hidden="1" x14ac:dyDescent="0.25">
      <c r="L271" s="2" t="str">
        <f t="shared" si="47"/>
        <v/>
      </c>
      <c r="M271" s="45">
        <f t="shared" si="46"/>
        <v>20</v>
      </c>
      <c r="N271" s="36">
        <v>251</v>
      </c>
      <c r="O271" s="91">
        <f t="shared" si="40"/>
        <v>0</v>
      </c>
      <c r="P271" s="38">
        <f t="shared" si="41"/>
        <v>0</v>
      </c>
      <c r="W271" s="26">
        <f t="shared" si="42"/>
        <v>0</v>
      </c>
      <c r="X271" s="5">
        <f t="shared" si="43"/>
        <v>0</v>
      </c>
      <c r="Y271" s="5"/>
      <c r="AA271" s="63">
        <f t="shared" si="44"/>
        <v>0</v>
      </c>
      <c r="AB271" s="5">
        <f t="shared" si="45"/>
        <v>0</v>
      </c>
      <c r="AP271" s="3">
        <v>258</v>
      </c>
      <c r="AR271" s="14">
        <f t="shared" si="39"/>
        <v>0</v>
      </c>
      <c r="AS271" s="17" t="e">
        <f>IF(OR(AS270=0,AS270&gt;=#REF!),0,FV($O$1,AP271,-#REF!,0,1))</f>
        <v>#REF!</v>
      </c>
      <c r="AU271" s="5">
        <f t="shared" ref="AU271:AU334" si="48">X278</f>
        <v>0</v>
      </c>
    </row>
    <row r="272" spans="12:47" hidden="1" x14ac:dyDescent="0.25">
      <c r="L272" s="2" t="str">
        <f t="shared" si="47"/>
        <v/>
      </c>
      <c r="M272" s="45">
        <f t="shared" si="46"/>
        <v>20</v>
      </c>
      <c r="N272" s="36">
        <v>252</v>
      </c>
      <c r="O272" s="91">
        <f t="shared" si="40"/>
        <v>0</v>
      </c>
      <c r="P272" s="38">
        <f t="shared" si="41"/>
        <v>0</v>
      </c>
      <c r="W272" s="26">
        <f t="shared" si="42"/>
        <v>0</v>
      </c>
      <c r="X272" s="5">
        <f t="shared" si="43"/>
        <v>0</v>
      </c>
      <c r="Y272" s="5"/>
      <c r="AA272" s="63">
        <f t="shared" si="44"/>
        <v>0</v>
      </c>
      <c r="AB272" s="5">
        <f t="shared" si="45"/>
        <v>0</v>
      </c>
      <c r="AP272" s="3">
        <v>259</v>
      </c>
      <c r="AR272" s="14">
        <f t="shared" si="39"/>
        <v>0</v>
      </c>
      <c r="AS272" s="17" t="e">
        <f>IF(OR(AS271=0,AS271&gt;=#REF!),0,FV($O$1,AP272,-#REF!,0,1))</f>
        <v>#REF!</v>
      </c>
      <c r="AU272" s="5">
        <f t="shared" si="48"/>
        <v>0</v>
      </c>
    </row>
    <row r="273" spans="12:47" hidden="1" x14ac:dyDescent="0.25">
      <c r="L273" s="2" t="str">
        <f t="shared" si="47"/>
        <v/>
      </c>
      <c r="M273" s="45">
        <f t="shared" si="46"/>
        <v>21</v>
      </c>
      <c r="N273" s="36">
        <v>253</v>
      </c>
      <c r="O273" s="91">
        <f t="shared" si="40"/>
        <v>0</v>
      </c>
      <c r="P273" s="38">
        <f t="shared" si="41"/>
        <v>0</v>
      </c>
      <c r="W273" s="26">
        <f t="shared" si="42"/>
        <v>0</v>
      </c>
      <c r="X273" s="5">
        <f t="shared" si="43"/>
        <v>0</v>
      </c>
      <c r="Y273" s="5"/>
      <c r="AA273" s="63">
        <f t="shared" si="44"/>
        <v>0</v>
      </c>
      <c r="AB273" s="5">
        <f t="shared" si="45"/>
        <v>0</v>
      </c>
      <c r="AP273" s="3">
        <v>260</v>
      </c>
      <c r="AR273" s="14">
        <f t="shared" si="39"/>
        <v>0</v>
      </c>
      <c r="AS273" s="17" t="e">
        <f>IF(OR(AS272=0,AS272&gt;=#REF!),0,FV($O$1,AP273,-#REF!,0,1))</f>
        <v>#REF!</v>
      </c>
      <c r="AU273" s="5">
        <f t="shared" si="48"/>
        <v>0</v>
      </c>
    </row>
    <row r="274" spans="12:47" hidden="1" x14ac:dyDescent="0.25">
      <c r="L274" s="2" t="str">
        <f t="shared" si="47"/>
        <v/>
      </c>
      <c r="M274" s="45">
        <f t="shared" si="46"/>
        <v>21</v>
      </c>
      <c r="N274" s="36">
        <v>254</v>
      </c>
      <c r="O274" s="91">
        <f t="shared" si="40"/>
        <v>0</v>
      </c>
      <c r="P274" s="38">
        <f t="shared" si="41"/>
        <v>0</v>
      </c>
      <c r="W274" s="26">
        <f t="shared" si="42"/>
        <v>0</v>
      </c>
      <c r="X274" s="5">
        <f t="shared" si="43"/>
        <v>0</v>
      </c>
      <c r="Y274" s="5"/>
      <c r="AA274" s="63">
        <f t="shared" si="44"/>
        <v>0</v>
      </c>
      <c r="AB274" s="5">
        <f t="shared" si="45"/>
        <v>0</v>
      </c>
      <c r="AP274" s="3">
        <v>261</v>
      </c>
      <c r="AR274" s="14">
        <f t="shared" ref="AR274:AR337" si="49">IF(AP274&lt;=$X$3,FV($O$1,AP274,-$X$5,0,1),0)</f>
        <v>0</v>
      </c>
      <c r="AS274" s="17" t="e">
        <f>IF(OR(AS273=0,AS273&gt;=#REF!),0,FV($O$1,AP274,-#REF!,0,1))</f>
        <v>#REF!</v>
      </c>
      <c r="AU274" s="5">
        <f t="shared" si="48"/>
        <v>0</v>
      </c>
    </row>
    <row r="275" spans="12:47" hidden="1" x14ac:dyDescent="0.25">
      <c r="L275" s="2" t="str">
        <f t="shared" si="47"/>
        <v/>
      </c>
      <c r="M275" s="45">
        <f t="shared" si="46"/>
        <v>21</v>
      </c>
      <c r="N275" s="36">
        <v>255</v>
      </c>
      <c r="O275" s="91">
        <f t="shared" si="40"/>
        <v>0</v>
      </c>
      <c r="P275" s="38">
        <f t="shared" si="41"/>
        <v>0</v>
      </c>
      <c r="W275" s="26">
        <f t="shared" si="42"/>
        <v>0</v>
      </c>
      <c r="X275" s="5">
        <f t="shared" si="43"/>
        <v>0</v>
      </c>
      <c r="Y275" s="5"/>
      <c r="AA275" s="63">
        <f t="shared" si="44"/>
        <v>0</v>
      </c>
      <c r="AB275" s="5">
        <f t="shared" si="45"/>
        <v>0</v>
      </c>
      <c r="AP275" s="3">
        <v>262</v>
      </c>
      <c r="AR275" s="14">
        <f t="shared" si="49"/>
        <v>0</v>
      </c>
      <c r="AS275" s="17" t="e">
        <f>IF(OR(AS274=0,AS274&gt;=#REF!),0,FV($O$1,AP275,-#REF!,0,1))</f>
        <v>#REF!</v>
      </c>
      <c r="AU275" s="5">
        <f t="shared" si="48"/>
        <v>0</v>
      </c>
    </row>
    <row r="276" spans="12:47" hidden="1" x14ac:dyDescent="0.25">
      <c r="L276" s="2" t="str">
        <f t="shared" si="47"/>
        <v/>
      </c>
      <c r="M276" s="45">
        <f t="shared" si="46"/>
        <v>21</v>
      </c>
      <c r="N276" s="36">
        <v>256</v>
      </c>
      <c r="O276" s="91">
        <f t="shared" si="40"/>
        <v>0</v>
      </c>
      <c r="P276" s="38">
        <f t="shared" si="41"/>
        <v>0</v>
      </c>
      <c r="W276" s="26">
        <f t="shared" si="42"/>
        <v>0</v>
      </c>
      <c r="X276" s="5">
        <f t="shared" si="43"/>
        <v>0</v>
      </c>
      <c r="Y276" s="5"/>
      <c r="AA276" s="63">
        <f t="shared" si="44"/>
        <v>0</v>
      </c>
      <c r="AB276" s="5">
        <f t="shared" si="45"/>
        <v>0</v>
      </c>
      <c r="AP276" s="3">
        <v>263</v>
      </c>
      <c r="AR276" s="14">
        <f t="shared" si="49"/>
        <v>0</v>
      </c>
      <c r="AS276" s="17" t="e">
        <f>IF(OR(AS275=0,AS275&gt;=#REF!),0,FV($O$1,AP276,-#REF!,0,1))</f>
        <v>#REF!</v>
      </c>
      <c r="AU276" s="5">
        <f t="shared" si="48"/>
        <v>0</v>
      </c>
    </row>
    <row r="277" spans="12:47" hidden="1" x14ac:dyDescent="0.25">
      <c r="L277" s="2" t="str">
        <f t="shared" si="47"/>
        <v/>
      </c>
      <c r="M277" s="45">
        <f t="shared" si="46"/>
        <v>21</v>
      </c>
      <c r="N277" s="36">
        <v>257</v>
      </c>
      <c r="O277" s="91">
        <f t="shared" ref="O277:O340" si="50">IF(N277&lt;=InvMonths,SU_Amt*(1+GRate)^M277,0)</f>
        <v>0</v>
      </c>
      <c r="P277" s="38">
        <f t="shared" ref="P277:P340" si="51">FV(SIPRate,InvMonths-N277+1,0,-O277,1)</f>
        <v>0</v>
      </c>
      <c r="W277" s="26">
        <f t="shared" ref="W277:W340" si="52">IF(N277&lt;=InvMonths,$X$18,0)</f>
        <v>0</v>
      </c>
      <c r="X277" s="5">
        <f t="shared" ref="X277:X340" si="53">FV(SIPRate,(InvMonths-N277+1),0,-W277,1)</f>
        <v>0</v>
      </c>
      <c r="Y277" s="5"/>
      <c r="AA277" s="63">
        <f t="shared" ref="AA277:AA340" si="54">IF(N277&lt;=InvMonths,$AB$18*(1+$C$32)^M277,0)</f>
        <v>0</v>
      </c>
      <c r="AB277" s="5">
        <f t="shared" ref="AB277:AB340" si="55">FV(SIPRate,(InvMonths-N277+1),0,-AA277,1)</f>
        <v>0</v>
      </c>
      <c r="AP277" s="3">
        <v>264</v>
      </c>
      <c r="AR277" s="14">
        <f t="shared" si="49"/>
        <v>0</v>
      </c>
      <c r="AS277" s="17" t="e">
        <f>IF(OR(AS276=0,AS276&gt;=#REF!),0,FV($O$1,AP277,-#REF!,0,1))</f>
        <v>#REF!</v>
      </c>
      <c r="AU277" s="5">
        <f t="shared" si="48"/>
        <v>0</v>
      </c>
    </row>
    <row r="278" spans="12:47" hidden="1" x14ac:dyDescent="0.25">
      <c r="L278" s="2" t="str">
        <f t="shared" si="47"/>
        <v/>
      </c>
      <c r="M278" s="45">
        <f t="shared" ref="M278:M341" si="56">IF(MOD(N278,12)=0,(N278/12)-1,QUOTIENT(N278,12))</f>
        <v>21</v>
      </c>
      <c r="N278" s="36">
        <v>258</v>
      </c>
      <c r="O278" s="91">
        <f t="shared" si="50"/>
        <v>0</v>
      </c>
      <c r="P278" s="38">
        <f t="shared" si="51"/>
        <v>0</v>
      </c>
      <c r="W278" s="26">
        <f t="shared" si="52"/>
        <v>0</v>
      </c>
      <c r="X278" s="5">
        <f t="shared" si="53"/>
        <v>0</v>
      </c>
      <c r="Y278" s="5"/>
      <c r="AA278" s="63">
        <f t="shared" si="54"/>
        <v>0</v>
      </c>
      <c r="AB278" s="5">
        <f t="shared" si="55"/>
        <v>0</v>
      </c>
      <c r="AP278" s="3">
        <v>265</v>
      </c>
      <c r="AR278" s="14">
        <f t="shared" si="49"/>
        <v>0</v>
      </c>
      <c r="AS278" s="17" t="e">
        <f>IF(OR(AS277=0,AS277&gt;=#REF!),0,FV($O$1,AP278,-#REF!,0,1))</f>
        <v>#REF!</v>
      </c>
      <c r="AU278" s="5">
        <f t="shared" si="48"/>
        <v>0</v>
      </c>
    </row>
    <row r="279" spans="12:47" hidden="1" x14ac:dyDescent="0.25">
      <c r="L279" s="2" t="str">
        <f t="shared" si="47"/>
        <v/>
      </c>
      <c r="M279" s="45">
        <f t="shared" si="56"/>
        <v>21</v>
      </c>
      <c r="N279" s="36">
        <v>259</v>
      </c>
      <c r="O279" s="91">
        <f t="shared" si="50"/>
        <v>0</v>
      </c>
      <c r="P279" s="38">
        <f t="shared" si="51"/>
        <v>0</v>
      </c>
      <c r="W279" s="26">
        <f t="shared" si="52"/>
        <v>0</v>
      </c>
      <c r="X279" s="5">
        <f t="shared" si="53"/>
        <v>0</v>
      </c>
      <c r="Y279" s="5"/>
      <c r="AA279" s="63">
        <f t="shared" si="54"/>
        <v>0</v>
      </c>
      <c r="AB279" s="5">
        <f t="shared" si="55"/>
        <v>0</v>
      </c>
      <c r="AP279" s="3">
        <v>266</v>
      </c>
      <c r="AR279" s="14">
        <f t="shared" si="49"/>
        <v>0</v>
      </c>
      <c r="AS279" s="17" t="e">
        <f>IF(OR(AS278=0,AS278&gt;=#REF!),0,FV($O$1,AP279,-#REF!,0,1))</f>
        <v>#REF!</v>
      </c>
      <c r="AU279" s="5">
        <f t="shared" si="48"/>
        <v>0</v>
      </c>
    </row>
    <row r="280" spans="12:47" hidden="1" x14ac:dyDescent="0.25">
      <c r="L280" s="2" t="str">
        <f t="shared" si="47"/>
        <v/>
      </c>
      <c r="M280" s="45">
        <f t="shared" si="56"/>
        <v>21</v>
      </c>
      <c r="N280" s="36">
        <v>260</v>
      </c>
      <c r="O280" s="91">
        <f t="shared" si="50"/>
        <v>0</v>
      </c>
      <c r="P280" s="38">
        <f t="shared" si="51"/>
        <v>0</v>
      </c>
      <c r="W280" s="26">
        <f t="shared" si="52"/>
        <v>0</v>
      </c>
      <c r="X280" s="5">
        <f t="shared" si="53"/>
        <v>0</v>
      </c>
      <c r="Y280" s="5"/>
      <c r="AA280" s="63">
        <f t="shared" si="54"/>
        <v>0</v>
      </c>
      <c r="AB280" s="5">
        <f t="shared" si="55"/>
        <v>0</v>
      </c>
      <c r="AP280" s="3">
        <v>267</v>
      </c>
      <c r="AR280" s="14">
        <f t="shared" si="49"/>
        <v>0</v>
      </c>
      <c r="AS280" s="17" t="e">
        <f>IF(OR(AS279=0,AS279&gt;=#REF!),0,FV($O$1,AP280,-#REF!,0,1))</f>
        <v>#REF!</v>
      </c>
      <c r="AU280" s="5">
        <f t="shared" si="48"/>
        <v>0</v>
      </c>
    </row>
    <row r="281" spans="12:47" hidden="1" x14ac:dyDescent="0.25">
      <c r="L281" s="2" t="str">
        <f t="shared" si="47"/>
        <v/>
      </c>
      <c r="M281" s="45">
        <f t="shared" si="56"/>
        <v>21</v>
      </c>
      <c r="N281" s="36">
        <v>261</v>
      </c>
      <c r="O281" s="91">
        <f t="shared" si="50"/>
        <v>0</v>
      </c>
      <c r="P281" s="38">
        <f t="shared" si="51"/>
        <v>0</v>
      </c>
      <c r="W281" s="26">
        <f t="shared" si="52"/>
        <v>0</v>
      </c>
      <c r="X281" s="5">
        <f t="shared" si="53"/>
        <v>0</v>
      </c>
      <c r="Y281" s="5"/>
      <c r="AA281" s="63">
        <f t="shared" si="54"/>
        <v>0</v>
      </c>
      <c r="AB281" s="5">
        <f t="shared" si="55"/>
        <v>0</v>
      </c>
      <c r="AP281" s="3">
        <v>268</v>
      </c>
      <c r="AR281" s="14">
        <f t="shared" si="49"/>
        <v>0</v>
      </c>
      <c r="AS281" s="17" t="e">
        <f>IF(OR(AS280=0,AS280&gt;=#REF!),0,FV($O$1,AP281,-#REF!,0,1))</f>
        <v>#REF!</v>
      </c>
      <c r="AU281" s="5">
        <f t="shared" si="48"/>
        <v>0</v>
      </c>
    </row>
    <row r="282" spans="12:47" hidden="1" x14ac:dyDescent="0.25">
      <c r="L282" s="2" t="str">
        <f t="shared" si="47"/>
        <v/>
      </c>
      <c r="M282" s="45">
        <f t="shared" si="56"/>
        <v>21</v>
      </c>
      <c r="N282" s="36">
        <v>262</v>
      </c>
      <c r="O282" s="91">
        <f t="shared" si="50"/>
        <v>0</v>
      </c>
      <c r="P282" s="38">
        <f t="shared" si="51"/>
        <v>0</v>
      </c>
      <c r="W282" s="26">
        <f t="shared" si="52"/>
        <v>0</v>
      </c>
      <c r="X282" s="5">
        <f t="shared" si="53"/>
        <v>0</v>
      </c>
      <c r="Y282" s="5"/>
      <c r="AA282" s="63">
        <f t="shared" si="54"/>
        <v>0</v>
      </c>
      <c r="AB282" s="5">
        <f t="shared" si="55"/>
        <v>0</v>
      </c>
      <c r="AP282" s="3">
        <v>269</v>
      </c>
      <c r="AR282" s="14">
        <f t="shared" si="49"/>
        <v>0</v>
      </c>
      <c r="AS282" s="17" t="e">
        <f>IF(OR(AS281=0,AS281&gt;=#REF!),0,FV($O$1,AP282,-#REF!,0,1))</f>
        <v>#REF!</v>
      </c>
      <c r="AU282" s="5">
        <f t="shared" si="48"/>
        <v>0</v>
      </c>
    </row>
    <row r="283" spans="12:47" hidden="1" x14ac:dyDescent="0.25">
      <c r="L283" s="2" t="str">
        <f t="shared" si="47"/>
        <v/>
      </c>
      <c r="M283" s="45">
        <f t="shared" si="56"/>
        <v>21</v>
      </c>
      <c r="N283" s="36">
        <v>263</v>
      </c>
      <c r="O283" s="91">
        <f t="shared" si="50"/>
        <v>0</v>
      </c>
      <c r="P283" s="38">
        <f t="shared" si="51"/>
        <v>0</v>
      </c>
      <c r="W283" s="26">
        <f t="shared" si="52"/>
        <v>0</v>
      </c>
      <c r="X283" s="5">
        <f t="shared" si="53"/>
        <v>0</v>
      </c>
      <c r="Y283" s="5"/>
      <c r="AA283" s="63">
        <f t="shared" si="54"/>
        <v>0</v>
      </c>
      <c r="AB283" s="5">
        <f t="shared" si="55"/>
        <v>0</v>
      </c>
      <c r="AP283" s="3">
        <v>270</v>
      </c>
      <c r="AR283" s="14">
        <f t="shared" si="49"/>
        <v>0</v>
      </c>
      <c r="AS283" s="17" t="e">
        <f>IF(OR(AS282=0,AS282&gt;=#REF!),0,FV($O$1,AP283,-#REF!,0,1))</f>
        <v>#REF!</v>
      </c>
      <c r="AU283" s="5">
        <f t="shared" si="48"/>
        <v>0</v>
      </c>
    </row>
    <row r="284" spans="12:47" hidden="1" x14ac:dyDescent="0.25">
      <c r="L284" s="2" t="str">
        <f t="shared" si="47"/>
        <v/>
      </c>
      <c r="M284" s="45">
        <f t="shared" si="56"/>
        <v>21</v>
      </c>
      <c r="N284" s="36">
        <v>264</v>
      </c>
      <c r="O284" s="91">
        <f t="shared" si="50"/>
        <v>0</v>
      </c>
      <c r="P284" s="38">
        <f t="shared" si="51"/>
        <v>0</v>
      </c>
      <c r="W284" s="26">
        <f t="shared" si="52"/>
        <v>0</v>
      </c>
      <c r="X284" s="5">
        <f t="shared" si="53"/>
        <v>0</v>
      </c>
      <c r="Y284" s="5"/>
      <c r="AA284" s="63">
        <f t="shared" si="54"/>
        <v>0</v>
      </c>
      <c r="AB284" s="5">
        <f t="shared" si="55"/>
        <v>0</v>
      </c>
      <c r="AP284" s="3">
        <v>271</v>
      </c>
      <c r="AR284" s="14">
        <f t="shared" si="49"/>
        <v>0</v>
      </c>
      <c r="AS284" s="17" t="e">
        <f>IF(OR(AS283=0,AS283&gt;=#REF!),0,FV($O$1,AP284,-#REF!,0,1))</f>
        <v>#REF!</v>
      </c>
      <c r="AU284" s="5">
        <f t="shared" si="48"/>
        <v>0</v>
      </c>
    </row>
    <row r="285" spans="12:47" hidden="1" x14ac:dyDescent="0.25">
      <c r="L285" s="2" t="str">
        <f t="shared" si="47"/>
        <v/>
      </c>
      <c r="M285" s="45">
        <f t="shared" si="56"/>
        <v>22</v>
      </c>
      <c r="N285" s="36">
        <v>265</v>
      </c>
      <c r="O285" s="91">
        <f t="shared" si="50"/>
        <v>0</v>
      </c>
      <c r="P285" s="38">
        <f t="shared" si="51"/>
        <v>0</v>
      </c>
      <c r="W285" s="26">
        <f t="shared" si="52"/>
        <v>0</v>
      </c>
      <c r="X285" s="5">
        <f t="shared" si="53"/>
        <v>0</v>
      </c>
      <c r="Y285" s="5"/>
      <c r="AA285" s="63">
        <f t="shared" si="54"/>
        <v>0</v>
      </c>
      <c r="AB285" s="5">
        <f t="shared" si="55"/>
        <v>0</v>
      </c>
      <c r="AP285" s="3">
        <v>272</v>
      </c>
      <c r="AR285" s="14">
        <f t="shared" si="49"/>
        <v>0</v>
      </c>
      <c r="AS285" s="17" t="e">
        <f>IF(OR(AS284=0,AS284&gt;=#REF!),0,FV($O$1,AP285,-#REF!,0,1))</f>
        <v>#REF!</v>
      </c>
      <c r="AU285" s="5">
        <f t="shared" si="48"/>
        <v>0</v>
      </c>
    </row>
    <row r="286" spans="12:47" hidden="1" x14ac:dyDescent="0.25">
      <c r="L286" s="2" t="str">
        <f t="shared" ref="L286:L349" si="57">IF(MOD(M286,12)=0,M286/12,"")</f>
        <v/>
      </c>
      <c r="M286" s="45">
        <f t="shared" si="56"/>
        <v>22</v>
      </c>
      <c r="N286" s="36">
        <v>266</v>
      </c>
      <c r="O286" s="91">
        <f t="shared" si="50"/>
        <v>0</v>
      </c>
      <c r="P286" s="38">
        <f t="shared" si="51"/>
        <v>0</v>
      </c>
      <c r="W286" s="26">
        <f t="shared" si="52"/>
        <v>0</v>
      </c>
      <c r="X286" s="5">
        <f t="shared" si="53"/>
        <v>0</v>
      </c>
      <c r="Y286" s="5"/>
      <c r="AA286" s="63">
        <f t="shared" si="54"/>
        <v>0</v>
      </c>
      <c r="AB286" s="5">
        <f t="shared" si="55"/>
        <v>0</v>
      </c>
      <c r="AP286" s="3">
        <v>273</v>
      </c>
      <c r="AR286" s="14">
        <f t="shared" si="49"/>
        <v>0</v>
      </c>
      <c r="AS286" s="17" t="e">
        <f>IF(OR(AS285=0,AS285&gt;=#REF!),0,FV($O$1,AP286,-#REF!,0,1))</f>
        <v>#REF!</v>
      </c>
      <c r="AU286" s="5">
        <f t="shared" si="48"/>
        <v>0</v>
      </c>
    </row>
    <row r="287" spans="12:47" hidden="1" x14ac:dyDescent="0.25">
      <c r="L287" s="2" t="str">
        <f t="shared" si="57"/>
        <v/>
      </c>
      <c r="M287" s="45">
        <f t="shared" si="56"/>
        <v>22</v>
      </c>
      <c r="N287" s="36">
        <v>267</v>
      </c>
      <c r="O287" s="91">
        <f t="shared" si="50"/>
        <v>0</v>
      </c>
      <c r="P287" s="38">
        <f t="shared" si="51"/>
        <v>0</v>
      </c>
      <c r="W287" s="26">
        <f t="shared" si="52"/>
        <v>0</v>
      </c>
      <c r="X287" s="5">
        <f t="shared" si="53"/>
        <v>0</v>
      </c>
      <c r="Y287" s="5"/>
      <c r="AA287" s="63">
        <f t="shared" si="54"/>
        <v>0</v>
      </c>
      <c r="AB287" s="5">
        <f t="shared" si="55"/>
        <v>0</v>
      </c>
      <c r="AP287" s="3">
        <v>274</v>
      </c>
      <c r="AR287" s="14">
        <f t="shared" si="49"/>
        <v>0</v>
      </c>
      <c r="AS287" s="17" t="e">
        <f>IF(OR(AS286=0,AS286&gt;=#REF!),0,FV($O$1,AP287,-#REF!,0,1))</f>
        <v>#REF!</v>
      </c>
      <c r="AU287" s="5">
        <f t="shared" si="48"/>
        <v>0</v>
      </c>
    </row>
    <row r="288" spans="12:47" hidden="1" x14ac:dyDescent="0.25">
      <c r="L288" s="2" t="str">
        <f t="shared" si="57"/>
        <v/>
      </c>
      <c r="M288" s="45">
        <f t="shared" si="56"/>
        <v>22</v>
      </c>
      <c r="N288" s="36">
        <v>268</v>
      </c>
      <c r="O288" s="91">
        <f t="shared" si="50"/>
        <v>0</v>
      </c>
      <c r="P288" s="38">
        <f t="shared" si="51"/>
        <v>0</v>
      </c>
      <c r="W288" s="26">
        <f t="shared" si="52"/>
        <v>0</v>
      </c>
      <c r="X288" s="5">
        <f t="shared" si="53"/>
        <v>0</v>
      </c>
      <c r="Y288" s="5"/>
      <c r="AA288" s="63">
        <f t="shared" si="54"/>
        <v>0</v>
      </c>
      <c r="AB288" s="5">
        <f t="shared" si="55"/>
        <v>0</v>
      </c>
      <c r="AP288" s="3">
        <v>275</v>
      </c>
      <c r="AR288" s="14">
        <f t="shared" si="49"/>
        <v>0</v>
      </c>
      <c r="AS288" s="17" t="e">
        <f>IF(OR(AS287=0,AS287&gt;=#REF!),0,FV($O$1,AP288,-#REF!,0,1))</f>
        <v>#REF!</v>
      </c>
      <c r="AU288" s="5">
        <f t="shared" si="48"/>
        <v>0</v>
      </c>
    </row>
    <row r="289" spans="12:47" hidden="1" x14ac:dyDescent="0.25">
      <c r="L289" s="2" t="str">
        <f t="shared" si="57"/>
        <v/>
      </c>
      <c r="M289" s="45">
        <f t="shared" si="56"/>
        <v>22</v>
      </c>
      <c r="N289" s="36">
        <v>269</v>
      </c>
      <c r="O289" s="91">
        <f t="shared" si="50"/>
        <v>0</v>
      </c>
      <c r="P289" s="38">
        <f t="shared" si="51"/>
        <v>0</v>
      </c>
      <c r="W289" s="26">
        <f t="shared" si="52"/>
        <v>0</v>
      </c>
      <c r="X289" s="5">
        <f t="shared" si="53"/>
        <v>0</v>
      </c>
      <c r="Y289" s="5"/>
      <c r="AA289" s="63">
        <f t="shared" si="54"/>
        <v>0</v>
      </c>
      <c r="AB289" s="5">
        <f t="shared" si="55"/>
        <v>0</v>
      </c>
      <c r="AP289" s="3">
        <v>276</v>
      </c>
      <c r="AR289" s="14">
        <f t="shared" si="49"/>
        <v>0</v>
      </c>
      <c r="AS289" s="17" t="e">
        <f>IF(OR(AS288=0,AS288&gt;=#REF!),0,FV($O$1,AP289,-#REF!,0,1))</f>
        <v>#REF!</v>
      </c>
      <c r="AU289" s="5">
        <f t="shared" si="48"/>
        <v>0</v>
      </c>
    </row>
    <row r="290" spans="12:47" hidden="1" x14ac:dyDescent="0.25">
      <c r="L290" s="2" t="str">
        <f t="shared" si="57"/>
        <v/>
      </c>
      <c r="M290" s="45">
        <f t="shared" si="56"/>
        <v>22</v>
      </c>
      <c r="N290" s="36">
        <v>270</v>
      </c>
      <c r="O290" s="91">
        <f t="shared" si="50"/>
        <v>0</v>
      </c>
      <c r="P290" s="38">
        <f t="shared" si="51"/>
        <v>0</v>
      </c>
      <c r="W290" s="26">
        <f t="shared" si="52"/>
        <v>0</v>
      </c>
      <c r="X290" s="5">
        <f t="shared" si="53"/>
        <v>0</v>
      </c>
      <c r="Y290" s="5"/>
      <c r="AA290" s="63">
        <f t="shared" si="54"/>
        <v>0</v>
      </c>
      <c r="AB290" s="5">
        <f t="shared" si="55"/>
        <v>0</v>
      </c>
      <c r="AP290" s="3">
        <v>277</v>
      </c>
      <c r="AR290" s="14">
        <f t="shared" si="49"/>
        <v>0</v>
      </c>
      <c r="AS290" s="17" t="e">
        <f>IF(OR(AS289=0,AS289&gt;=#REF!),0,FV($O$1,AP290,-#REF!,0,1))</f>
        <v>#REF!</v>
      </c>
      <c r="AU290" s="5">
        <f t="shared" si="48"/>
        <v>0</v>
      </c>
    </row>
    <row r="291" spans="12:47" hidden="1" x14ac:dyDescent="0.25">
      <c r="L291" s="2" t="str">
        <f t="shared" si="57"/>
        <v/>
      </c>
      <c r="M291" s="45">
        <f t="shared" si="56"/>
        <v>22</v>
      </c>
      <c r="N291" s="36">
        <v>271</v>
      </c>
      <c r="O291" s="91">
        <f t="shared" si="50"/>
        <v>0</v>
      </c>
      <c r="P291" s="38">
        <f t="shared" si="51"/>
        <v>0</v>
      </c>
      <c r="W291" s="26">
        <f t="shared" si="52"/>
        <v>0</v>
      </c>
      <c r="X291" s="5">
        <f t="shared" si="53"/>
        <v>0</v>
      </c>
      <c r="Y291" s="5"/>
      <c r="AA291" s="63">
        <f t="shared" si="54"/>
        <v>0</v>
      </c>
      <c r="AB291" s="5">
        <f t="shared" si="55"/>
        <v>0</v>
      </c>
      <c r="AP291" s="3">
        <v>278</v>
      </c>
      <c r="AR291" s="14">
        <f t="shared" si="49"/>
        <v>0</v>
      </c>
      <c r="AS291" s="17" t="e">
        <f>IF(OR(AS290=0,AS290&gt;=#REF!),0,FV($O$1,AP291,-#REF!,0,1))</f>
        <v>#REF!</v>
      </c>
      <c r="AU291" s="5">
        <f t="shared" si="48"/>
        <v>0</v>
      </c>
    </row>
    <row r="292" spans="12:47" hidden="1" x14ac:dyDescent="0.25">
      <c r="L292" s="2" t="str">
        <f t="shared" si="57"/>
        <v/>
      </c>
      <c r="M292" s="45">
        <f t="shared" si="56"/>
        <v>22</v>
      </c>
      <c r="N292" s="36">
        <v>272</v>
      </c>
      <c r="O292" s="91">
        <f t="shared" si="50"/>
        <v>0</v>
      </c>
      <c r="P292" s="38">
        <f t="shared" si="51"/>
        <v>0</v>
      </c>
      <c r="W292" s="26">
        <f t="shared" si="52"/>
        <v>0</v>
      </c>
      <c r="X292" s="5">
        <f t="shared" si="53"/>
        <v>0</v>
      </c>
      <c r="Y292" s="5"/>
      <c r="AA292" s="63">
        <f t="shared" si="54"/>
        <v>0</v>
      </c>
      <c r="AB292" s="5">
        <f t="shared" si="55"/>
        <v>0</v>
      </c>
      <c r="AP292" s="3">
        <v>279</v>
      </c>
      <c r="AR292" s="14">
        <f t="shared" si="49"/>
        <v>0</v>
      </c>
      <c r="AS292" s="17" t="e">
        <f>IF(OR(AS291=0,AS291&gt;=#REF!),0,FV($O$1,AP292,-#REF!,0,1))</f>
        <v>#REF!</v>
      </c>
      <c r="AU292" s="5">
        <f t="shared" si="48"/>
        <v>0</v>
      </c>
    </row>
    <row r="293" spans="12:47" hidden="1" x14ac:dyDescent="0.25">
      <c r="L293" s="2" t="str">
        <f t="shared" si="57"/>
        <v/>
      </c>
      <c r="M293" s="45">
        <f t="shared" si="56"/>
        <v>22</v>
      </c>
      <c r="N293" s="36">
        <v>273</v>
      </c>
      <c r="O293" s="91">
        <f t="shared" si="50"/>
        <v>0</v>
      </c>
      <c r="P293" s="38">
        <f t="shared" si="51"/>
        <v>0</v>
      </c>
      <c r="W293" s="26">
        <f t="shared" si="52"/>
        <v>0</v>
      </c>
      <c r="X293" s="5">
        <f t="shared" si="53"/>
        <v>0</v>
      </c>
      <c r="Y293" s="5"/>
      <c r="AA293" s="63">
        <f t="shared" si="54"/>
        <v>0</v>
      </c>
      <c r="AB293" s="5">
        <f t="shared" si="55"/>
        <v>0</v>
      </c>
      <c r="AP293" s="3">
        <v>280</v>
      </c>
      <c r="AR293" s="14">
        <f t="shared" si="49"/>
        <v>0</v>
      </c>
      <c r="AS293" s="17" t="e">
        <f>IF(OR(AS292=0,AS292&gt;=#REF!),0,FV($O$1,AP293,-#REF!,0,1))</f>
        <v>#REF!</v>
      </c>
      <c r="AU293" s="5">
        <f t="shared" si="48"/>
        <v>0</v>
      </c>
    </row>
    <row r="294" spans="12:47" hidden="1" x14ac:dyDescent="0.25">
      <c r="L294" s="2" t="str">
        <f t="shared" si="57"/>
        <v/>
      </c>
      <c r="M294" s="45">
        <f t="shared" si="56"/>
        <v>22</v>
      </c>
      <c r="N294" s="36">
        <v>274</v>
      </c>
      <c r="O294" s="91">
        <f t="shared" si="50"/>
        <v>0</v>
      </c>
      <c r="P294" s="38">
        <f t="shared" si="51"/>
        <v>0</v>
      </c>
      <c r="W294" s="26">
        <f t="shared" si="52"/>
        <v>0</v>
      </c>
      <c r="X294" s="5">
        <f t="shared" si="53"/>
        <v>0</v>
      </c>
      <c r="Y294" s="5"/>
      <c r="AA294" s="63">
        <f t="shared" si="54"/>
        <v>0</v>
      </c>
      <c r="AB294" s="5">
        <f t="shared" si="55"/>
        <v>0</v>
      </c>
      <c r="AP294" s="3">
        <v>281</v>
      </c>
      <c r="AR294" s="14">
        <f t="shared" si="49"/>
        <v>0</v>
      </c>
      <c r="AS294" s="17" t="e">
        <f>IF(OR(AS293=0,AS293&gt;=#REF!),0,FV($O$1,AP294,-#REF!,0,1))</f>
        <v>#REF!</v>
      </c>
      <c r="AU294" s="5">
        <f t="shared" si="48"/>
        <v>0</v>
      </c>
    </row>
    <row r="295" spans="12:47" hidden="1" x14ac:dyDescent="0.25">
      <c r="L295" s="2" t="str">
        <f t="shared" si="57"/>
        <v/>
      </c>
      <c r="M295" s="45">
        <f t="shared" si="56"/>
        <v>22</v>
      </c>
      <c r="N295" s="36">
        <v>275</v>
      </c>
      <c r="O295" s="91">
        <f t="shared" si="50"/>
        <v>0</v>
      </c>
      <c r="P295" s="38">
        <f t="shared" si="51"/>
        <v>0</v>
      </c>
      <c r="W295" s="26">
        <f t="shared" si="52"/>
        <v>0</v>
      </c>
      <c r="X295" s="5">
        <f t="shared" si="53"/>
        <v>0</v>
      </c>
      <c r="Y295" s="5"/>
      <c r="AA295" s="63">
        <f t="shared" si="54"/>
        <v>0</v>
      </c>
      <c r="AB295" s="5">
        <f t="shared" si="55"/>
        <v>0</v>
      </c>
      <c r="AP295" s="3">
        <v>282</v>
      </c>
      <c r="AR295" s="14">
        <f t="shared" si="49"/>
        <v>0</v>
      </c>
      <c r="AS295" s="17" t="e">
        <f>IF(OR(AS294=0,AS294&gt;=#REF!),0,FV($O$1,AP295,-#REF!,0,1))</f>
        <v>#REF!</v>
      </c>
      <c r="AU295" s="5">
        <f t="shared" si="48"/>
        <v>0</v>
      </c>
    </row>
    <row r="296" spans="12:47" hidden="1" x14ac:dyDescent="0.25">
      <c r="L296" s="2" t="str">
        <f t="shared" si="57"/>
        <v/>
      </c>
      <c r="M296" s="45">
        <f t="shared" si="56"/>
        <v>22</v>
      </c>
      <c r="N296" s="36">
        <v>276</v>
      </c>
      <c r="O296" s="91">
        <f t="shared" si="50"/>
        <v>0</v>
      </c>
      <c r="P296" s="38">
        <f t="shared" si="51"/>
        <v>0</v>
      </c>
      <c r="W296" s="26">
        <f t="shared" si="52"/>
        <v>0</v>
      </c>
      <c r="X296" s="5">
        <f t="shared" si="53"/>
        <v>0</v>
      </c>
      <c r="Y296" s="5"/>
      <c r="AA296" s="63">
        <f t="shared" si="54"/>
        <v>0</v>
      </c>
      <c r="AB296" s="5">
        <f t="shared" si="55"/>
        <v>0</v>
      </c>
      <c r="AP296" s="3">
        <v>283</v>
      </c>
      <c r="AR296" s="14">
        <f t="shared" si="49"/>
        <v>0</v>
      </c>
      <c r="AS296" s="17" t="e">
        <f>IF(OR(AS295=0,AS295&gt;=#REF!),0,FV($O$1,AP296,-#REF!,0,1))</f>
        <v>#REF!</v>
      </c>
      <c r="AU296" s="5">
        <f t="shared" si="48"/>
        <v>0</v>
      </c>
    </row>
    <row r="297" spans="12:47" hidden="1" x14ac:dyDescent="0.25">
      <c r="L297" s="2" t="str">
        <f t="shared" si="57"/>
        <v/>
      </c>
      <c r="M297" s="45">
        <f t="shared" si="56"/>
        <v>23</v>
      </c>
      <c r="N297" s="36">
        <v>277</v>
      </c>
      <c r="O297" s="91">
        <f t="shared" si="50"/>
        <v>0</v>
      </c>
      <c r="P297" s="38">
        <f t="shared" si="51"/>
        <v>0</v>
      </c>
      <c r="W297" s="26">
        <f t="shared" si="52"/>
        <v>0</v>
      </c>
      <c r="X297" s="5">
        <f t="shared" si="53"/>
        <v>0</v>
      </c>
      <c r="Y297" s="5"/>
      <c r="AA297" s="63">
        <f t="shared" si="54"/>
        <v>0</v>
      </c>
      <c r="AB297" s="5">
        <f t="shared" si="55"/>
        <v>0</v>
      </c>
      <c r="AP297" s="3">
        <v>284</v>
      </c>
      <c r="AR297" s="14">
        <f t="shared" si="49"/>
        <v>0</v>
      </c>
      <c r="AS297" s="17" t="e">
        <f>IF(OR(AS296=0,AS296&gt;=#REF!),0,FV($O$1,AP297,-#REF!,0,1))</f>
        <v>#REF!</v>
      </c>
      <c r="AU297" s="5">
        <f t="shared" si="48"/>
        <v>0</v>
      </c>
    </row>
    <row r="298" spans="12:47" hidden="1" x14ac:dyDescent="0.25">
      <c r="L298" s="2" t="str">
        <f t="shared" si="57"/>
        <v/>
      </c>
      <c r="M298" s="45">
        <f t="shared" si="56"/>
        <v>23</v>
      </c>
      <c r="N298" s="36">
        <v>278</v>
      </c>
      <c r="O298" s="91">
        <f t="shared" si="50"/>
        <v>0</v>
      </c>
      <c r="P298" s="38">
        <f t="shared" si="51"/>
        <v>0</v>
      </c>
      <c r="W298" s="26">
        <f t="shared" si="52"/>
        <v>0</v>
      </c>
      <c r="X298" s="5">
        <f t="shared" si="53"/>
        <v>0</v>
      </c>
      <c r="Y298" s="5"/>
      <c r="AA298" s="63">
        <f t="shared" si="54"/>
        <v>0</v>
      </c>
      <c r="AB298" s="5">
        <f t="shared" si="55"/>
        <v>0</v>
      </c>
      <c r="AP298" s="3">
        <v>285</v>
      </c>
      <c r="AR298" s="14">
        <f t="shared" si="49"/>
        <v>0</v>
      </c>
      <c r="AS298" s="17" t="e">
        <f>IF(OR(AS297=0,AS297&gt;=#REF!),0,FV($O$1,AP298,-#REF!,0,1))</f>
        <v>#REF!</v>
      </c>
      <c r="AU298" s="5">
        <f t="shared" si="48"/>
        <v>0</v>
      </c>
    </row>
    <row r="299" spans="12:47" hidden="1" x14ac:dyDescent="0.25">
      <c r="L299" s="2" t="str">
        <f t="shared" si="57"/>
        <v/>
      </c>
      <c r="M299" s="45">
        <f t="shared" si="56"/>
        <v>23</v>
      </c>
      <c r="N299" s="36">
        <v>279</v>
      </c>
      <c r="O299" s="91">
        <f t="shared" si="50"/>
        <v>0</v>
      </c>
      <c r="P299" s="38">
        <f t="shared" si="51"/>
        <v>0</v>
      </c>
      <c r="W299" s="26">
        <f t="shared" si="52"/>
        <v>0</v>
      </c>
      <c r="X299" s="5">
        <f t="shared" si="53"/>
        <v>0</v>
      </c>
      <c r="Y299" s="5"/>
      <c r="AA299" s="63">
        <f t="shared" si="54"/>
        <v>0</v>
      </c>
      <c r="AB299" s="5">
        <f t="shared" si="55"/>
        <v>0</v>
      </c>
      <c r="AP299" s="3">
        <v>286</v>
      </c>
      <c r="AR299" s="14">
        <f t="shared" si="49"/>
        <v>0</v>
      </c>
      <c r="AS299" s="17" t="e">
        <f>IF(OR(AS298=0,AS298&gt;=#REF!),0,FV($O$1,AP299,-#REF!,0,1))</f>
        <v>#REF!</v>
      </c>
      <c r="AU299" s="5">
        <f t="shared" si="48"/>
        <v>0</v>
      </c>
    </row>
    <row r="300" spans="12:47" hidden="1" x14ac:dyDescent="0.25">
      <c r="L300" s="2" t="str">
        <f t="shared" si="57"/>
        <v/>
      </c>
      <c r="M300" s="45">
        <f t="shared" si="56"/>
        <v>23</v>
      </c>
      <c r="N300" s="36">
        <v>280</v>
      </c>
      <c r="O300" s="91">
        <f t="shared" si="50"/>
        <v>0</v>
      </c>
      <c r="P300" s="38">
        <f t="shared" si="51"/>
        <v>0</v>
      </c>
      <c r="W300" s="26">
        <f t="shared" si="52"/>
        <v>0</v>
      </c>
      <c r="X300" s="5">
        <f t="shared" si="53"/>
        <v>0</v>
      </c>
      <c r="Y300" s="5"/>
      <c r="AA300" s="63">
        <f t="shared" si="54"/>
        <v>0</v>
      </c>
      <c r="AB300" s="5">
        <f t="shared" si="55"/>
        <v>0</v>
      </c>
      <c r="AP300" s="3">
        <v>287</v>
      </c>
      <c r="AR300" s="14">
        <f t="shared" si="49"/>
        <v>0</v>
      </c>
      <c r="AS300" s="17" t="e">
        <f>IF(OR(AS299=0,AS299&gt;=#REF!),0,FV($O$1,AP300,-#REF!,0,1))</f>
        <v>#REF!</v>
      </c>
      <c r="AU300" s="5">
        <f t="shared" si="48"/>
        <v>0</v>
      </c>
    </row>
    <row r="301" spans="12:47" hidden="1" x14ac:dyDescent="0.25">
      <c r="L301" s="2" t="str">
        <f t="shared" si="57"/>
        <v/>
      </c>
      <c r="M301" s="45">
        <f t="shared" si="56"/>
        <v>23</v>
      </c>
      <c r="N301" s="36">
        <v>281</v>
      </c>
      <c r="O301" s="91">
        <f t="shared" si="50"/>
        <v>0</v>
      </c>
      <c r="P301" s="38">
        <f t="shared" si="51"/>
        <v>0</v>
      </c>
      <c r="W301" s="26">
        <f t="shared" si="52"/>
        <v>0</v>
      </c>
      <c r="X301" s="5">
        <f t="shared" si="53"/>
        <v>0</v>
      </c>
      <c r="Y301" s="5"/>
      <c r="AA301" s="63">
        <f t="shared" si="54"/>
        <v>0</v>
      </c>
      <c r="AB301" s="5">
        <f t="shared" si="55"/>
        <v>0</v>
      </c>
      <c r="AP301" s="3">
        <v>288</v>
      </c>
      <c r="AR301" s="14">
        <f t="shared" si="49"/>
        <v>0</v>
      </c>
      <c r="AS301" s="17" t="e">
        <f>IF(OR(AS300=0,AS300&gt;=#REF!),0,FV($O$1,AP301,-#REF!,0,1))</f>
        <v>#REF!</v>
      </c>
      <c r="AU301" s="5">
        <f t="shared" si="48"/>
        <v>0</v>
      </c>
    </row>
    <row r="302" spans="12:47" hidden="1" x14ac:dyDescent="0.25">
      <c r="L302" s="2" t="str">
        <f t="shared" si="57"/>
        <v/>
      </c>
      <c r="M302" s="45">
        <f t="shared" si="56"/>
        <v>23</v>
      </c>
      <c r="N302" s="36">
        <v>282</v>
      </c>
      <c r="O302" s="91">
        <f t="shared" si="50"/>
        <v>0</v>
      </c>
      <c r="P302" s="38">
        <f t="shared" si="51"/>
        <v>0</v>
      </c>
      <c r="W302" s="26">
        <f t="shared" si="52"/>
        <v>0</v>
      </c>
      <c r="X302" s="5">
        <f t="shared" si="53"/>
        <v>0</v>
      </c>
      <c r="Y302" s="5"/>
      <c r="AA302" s="63">
        <f t="shared" si="54"/>
        <v>0</v>
      </c>
      <c r="AB302" s="5">
        <f t="shared" si="55"/>
        <v>0</v>
      </c>
      <c r="AP302" s="3">
        <v>289</v>
      </c>
      <c r="AR302" s="14">
        <f t="shared" si="49"/>
        <v>0</v>
      </c>
      <c r="AS302" s="17" t="e">
        <f>IF(OR(AS301=0,AS301&gt;=#REF!),0,FV($O$1,AP302,-#REF!,0,1))</f>
        <v>#REF!</v>
      </c>
      <c r="AU302" s="5">
        <f t="shared" si="48"/>
        <v>0</v>
      </c>
    </row>
    <row r="303" spans="12:47" hidden="1" x14ac:dyDescent="0.25">
      <c r="L303" s="2" t="str">
        <f t="shared" si="57"/>
        <v/>
      </c>
      <c r="M303" s="45">
        <f t="shared" si="56"/>
        <v>23</v>
      </c>
      <c r="N303" s="36">
        <v>283</v>
      </c>
      <c r="O303" s="91">
        <f t="shared" si="50"/>
        <v>0</v>
      </c>
      <c r="P303" s="38">
        <f t="shared" si="51"/>
        <v>0</v>
      </c>
      <c r="W303" s="26">
        <f t="shared" si="52"/>
        <v>0</v>
      </c>
      <c r="X303" s="5">
        <f t="shared" si="53"/>
        <v>0</v>
      </c>
      <c r="Y303" s="5"/>
      <c r="AA303" s="63">
        <f t="shared" si="54"/>
        <v>0</v>
      </c>
      <c r="AB303" s="5">
        <f t="shared" si="55"/>
        <v>0</v>
      </c>
      <c r="AP303" s="3">
        <v>290</v>
      </c>
      <c r="AR303" s="14">
        <f t="shared" si="49"/>
        <v>0</v>
      </c>
      <c r="AS303" s="17" t="e">
        <f>IF(OR(AS302=0,AS302&gt;=#REF!),0,FV($O$1,AP303,-#REF!,0,1))</f>
        <v>#REF!</v>
      </c>
      <c r="AU303" s="5">
        <f t="shared" si="48"/>
        <v>0</v>
      </c>
    </row>
    <row r="304" spans="12:47" hidden="1" x14ac:dyDescent="0.25">
      <c r="L304" s="2" t="str">
        <f t="shared" si="57"/>
        <v/>
      </c>
      <c r="M304" s="45">
        <f t="shared" si="56"/>
        <v>23</v>
      </c>
      <c r="N304" s="36">
        <v>284</v>
      </c>
      <c r="O304" s="91">
        <f t="shared" si="50"/>
        <v>0</v>
      </c>
      <c r="P304" s="38">
        <f t="shared" si="51"/>
        <v>0</v>
      </c>
      <c r="W304" s="26">
        <f t="shared" si="52"/>
        <v>0</v>
      </c>
      <c r="X304" s="5">
        <f t="shared" si="53"/>
        <v>0</v>
      </c>
      <c r="Y304" s="5"/>
      <c r="AA304" s="63">
        <f t="shared" si="54"/>
        <v>0</v>
      </c>
      <c r="AB304" s="5">
        <f t="shared" si="55"/>
        <v>0</v>
      </c>
      <c r="AP304" s="3">
        <v>291</v>
      </c>
      <c r="AR304" s="14">
        <f t="shared" si="49"/>
        <v>0</v>
      </c>
      <c r="AS304" s="17" t="e">
        <f>IF(OR(AS303=0,AS303&gt;=#REF!),0,FV($O$1,AP304,-#REF!,0,1))</f>
        <v>#REF!</v>
      </c>
      <c r="AU304" s="5">
        <f t="shared" si="48"/>
        <v>0</v>
      </c>
    </row>
    <row r="305" spans="12:47" hidden="1" x14ac:dyDescent="0.25">
      <c r="L305" s="2" t="str">
        <f t="shared" si="57"/>
        <v/>
      </c>
      <c r="M305" s="45">
        <f t="shared" si="56"/>
        <v>23</v>
      </c>
      <c r="N305" s="36">
        <v>285</v>
      </c>
      <c r="O305" s="91">
        <f t="shared" si="50"/>
        <v>0</v>
      </c>
      <c r="P305" s="38">
        <f t="shared" si="51"/>
        <v>0</v>
      </c>
      <c r="W305" s="26">
        <f t="shared" si="52"/>
        <v>0</v>
      </c>
      <c r="X305" s="5">
        <f t="shared" si="53"/>
        <v>0</v>
      </c>
      <c r="Y305" s="5"/>
      <c r="AA305" s="63">
        <f t="shared" si="54"/>
        <v>0</v>
      </c>
      <c r="AB305" s="5">
        <f t="shared" si="55"/>
        <v>0</v>
      </c>
      <c r="AP305" s="3">
        <v>292</v>
      </c>
      <c r="AR305" s="14">
        <f t="shared" si="49"/>
        <v>0</v>
      </c>
      <c r="AS305" s="17" t="e">
        <f>IF(OR(AS304=0,AS304&gt;=#REF!),0,FV($O$1,AP305,-#REF!,0,1))</f>
        <v>#REF!</v>
      </c>
      <c r="AU305" s="5">
        <f t="shared" si="48"/>
        <v>0</v>
      </c>
    </row>
    <row r="306" spans="12:47" hidden="1" x14ac:dyDescent="0.25">
      <c r="L306" s="2" t="str">
        <f t="shared" si="57"/>
        <v/>
      </c>
      <c r="M306" s="45">
        <f t="shared" si="56"/>
        <v>23</v>
      </c>
      <c r="N306" s="36">
        <v>286</v>
      </c>
      <c r="O306" s="91">
        <f t="shared" si="50"/>
        <v>0</v>
      </c>
      <c r="P306" s="38">
        <f t="shared" si="51"/>
        <v>0</v>
      </c>
      <c r="W306" s="26">
        <f t="shared" si="52"/>
        <v>0</v>
      </c>
      <c r="X306" s="5">
        <f t="shared" si="53"/>
        <v>0</v>
      </c>
      <c r="Y306" s="5"/>
      <c r="AA306" s="63">
        <f t="shared" si="54"/>
        <v>0</v>
      </c>
      <c r="AB306" s="5">
        <f t="shared" si="55"/>
        <v>0</v>
      </c>
      <c r="AP306" s="3">
        <v>293</v>
      </c>
      <c r="AR306" s="14">
        <f t="shared" si="49"/>
        <v>0</v>
      </c>
      <c r="AS306" s="17" t="e">
        <f>IF(OR(AS305=0,AS305&gt;=#REF!),0,FV($O$1,AP306,-#REF!,0,1))</f>
        <v>#REF!</v>
      </c>
      <c r="AU306" s="5">
        <f t="shared" si="48"/>
        <v>0</v>
      </c>
    </row>
    <row r="307" spans="12:47" hidden="1" x14ac:dyDescent="0.25">
      <c r="L307" s="2" t="str">
        <f t="shared" si="57"/>
        <v/>
      </c>
      <c r="M307" s="45">
        <f t="shared" si="56"/>
        <v>23</v>
      </c>
      <c r="N307" s="36">
        <v>287</v>
      </c>
      <c r="O307" s="91">
        <f t="shared" si="50"/>
        <v>0</v>
      </c>
      <c r="P307" s="38">
        <f t="shared" si="51"/>
        <v>0</v>
      </c>
      <c r="W307" s="26">
        <f t="shared" si="52"/>
        <v>0</v>
      </c>
      <c r="X307" s="5">
        <f t="shared" si="53"/>
        <v>0</v>
      </c>
      <c r="Y307" s="5"/>
      <c r="AA307" s="63">
        <f t="shared" si="54"/>
        <v>0</v>
      </c>
      <c r="AB307" s="5">
        <f t="shared" si="55"/>
        <v>0</v>
      </c>
      <c r="AP307" s="3">
        <v>294</v>
      </c>
      <c r="AR307" s="14">
        <f t="shared" si="49"/>
        <v>0</v>
      </c>
      <c r="AS307" s="17" t="e">
        <f>IF(OR(AS306=0,AS306&gt;=#REF!),0,FV($O$1,AP307,-#REF!,0,1))</f>
        <v>#REF!</v>
      </c>
      <c r="AU307" s="5">
        <f t="shared" si="48"/>
        <v>0</v>
      </c>
    </row>
    <row r="308" spans="12:47" hidden="1" x14ac:dyDescent="0.25">
      <c r="L308" s="2" t="str">
        <f t="shared" si="57"/>
        <v/>
      </c>
      <c r="M308" s="45">
        <f t="shared" si="56"/>
        <v>23</v>
      </c>
      <c r="N308" s="36">
        <v>288</v>
      </c>
      <c r="O308" s="91">
        <f t="shared" si="50"/>
        <v>0</v>
      </c>
      <c r="P308" s="38">
        <f t="shared" si="51"/>
        <v>0</v>
      </c>
      <c r="W308" s="26">
        <f t="shared" si="52"/>
        <v>0</v>
      </c>
      <c r="X308" s="5">
        <f t="shared" si="53"/>
        <v>0</v>
      </c>
      <c r="Y308" s="5"/>
      <c r="AA308" s="63">
        <f t="shared" si="54"/>
        <v>0</v>
      </c>
      <c r="AB308" s="5">
        <f t="shared" si="55"/>
        <v>0</v>
      </c>
      <c r="AP308" s="3">
        <v>295</v>
      </c>
      <c r="AR308" s="14">
        <f t="shared" si="49"/>
        <v>0</v>
      </c>
      <c r="AS308" s="17" t="e">
        <f>IF(OR(AS307=0,AS307&gt;=#REF!),0,FV($O$1,AP308,-#REF!,0,1))</f>
        <v>#REF!</v>
      </c>
      <c r="AU308" s="5">
        <f t="shared" si="48"/>
        <v>0</v>
      </c>
    </row>
    <row r="309" spans="12:47" hidden="1" x14ac:dyDescent="0.25">
      <c r="L309" s="2">
        <f t="shared" si="57"/>
        <v>2</v>
      </c>
      <c r="M309" s="45">
        <f t="shared" si="56"/>
        <v>24</v>
      </c>
      <c r="N309" s="36">
        <v>289</v>
      </c>
      <c r="O309" s="91">
        <f t="shared" si="50"/>
        <v>0</v>
      </c>
      <c r="P309" s="38">
        <f t="shared" si="51"/>
        <v>0</v>
      </c>
      <c r="W309" s="26">
        <f t="shared" si="52"/>
        <v>0</v>
      </c>
      <c r="X309" s="5">
        <f t="shared" si="53"/>
        <v>0</v>
      </c>
      <c r="Y309" s="5"/>
      <c r="AA309" s="63">
        <f t="shared" si="54"/>
        <v>0</v>
      </c>
      <c r="AB309" s="5">
        <f t="shared" si="55"/>
        <v>0</v>
      </c>
      <c r="AP309" s="3">
        <v>296</v>
      </c>
      <c r="AR309" s="14">
        <f t="shared" si="49"/>
        <v>0</v>
      </c>
      <c r="AS309" s="17" t="e">
        <f>IF(OR(AS308=0,AS308&gt;=#REF!),0,FV($O$1,AP309,-#REF!,0,1))</f>
        <v>#REF!</v>
      </c>
      <c r="AU309" s="5">
        <f t="shared" si="48"/>
        <v>0</v>
      </c>
    </row>
    <row r="310" spans="12:47" hidden="1" x14ac:dyDescent="0.25">
      <c r="L310" s="2">
        <f t="shared" si="57"/>
        <v>2</v>
      </c>
      <c r="M310" s="45">
        <f t="shared" si="56"/>
        <v>24</v>
      </c>
      <c r="N310" s="36">
        <v>290</v>
      </c>
      <c r="O310" s="91">
        <f t="shared" si="50"/>
        <v>0</v>
      </c>
      <c r="P310" s="38">
        <f t="shared" si="51"/>
        <v>0</v>
      </c>
      <c r="W310" s="26">
        <f t="shared" si="52"/>
        <v>0</v>
      </c>
      <c r="X310" s="5">
        <f t="shared" si="53"/>
        <v>0</v>
      </c>
      <c r="Y310" s="5"/>
      <c r="AA310" s="63">
        <f t="shared" si="54"/>
        <v>0</v>
      </c>
      <c r="AB310" s="5">
        <f t="shared" si="55"/>
        <v>0</v>
      </c>
      <c r="AP310" s="3">
        <v>297</v>
      </c>
      <c r="AR310" s="14">
        <f t="shared" si="49"/>
        <v>0</v>
      </c>
      <c r="AS310" s="17" t="e">
        <f>IF(OR(AS309=0,AS309&gt;=#REF!),0,FV($O$1,AP310,-#REF!,0,1))</f>
        <v>#REF!</v>
      </c>
      <c r="AU310" s="5">
        <f t="shared" si="48"/>
        <v>0</v>
      </c>
    </row>
    <row r="311" spans="12:47" hidden="1" x14ac:dyDescent="0.25">
      <c r="L311" s="2">
        <f t="shared" si="57"/>
        <v>2</v>
      </c>
      <c r="M311" s="45">
        <f t="shared" si="56"/>
        <v>24</v>
      </c>
      <c r="N311" s="36">
        <v>291</v>
      </c>
      <c r="O311" s="91">
        <f t="shared" si="50"/>
        <v>0</v>
      </c>
      <c r="P311" s="38">
        <f t="shared" si="51"/>
        <v>0</v>
      </c>
      <c r="W311" s="26">
        <f t="shared" si="52"/>
        <v>0</v>
      </c>
      <c r="X311" s="5">
        <f t="shared" si="53"/>
        <v>0</v>
      </c>
      <c r="Y311" s="5"/>
      <c r="AA311" s="63">
        <f t="shared" si="54"/>
        <v>0</v>
      </c>
      <c r="AB311" s="5">
        <f t="shared" si="55"/>
        <v>0</v>
      </c>
      <c r="AP311" s="3">
        <v>298</v>
      </c>
      <c r="AR311" s="14">
        <f t="shared" si="49"/>
        <v>0</v>
      </c>
      <c r="AS311" s="17" t="e">
        <f>IF(OR(AS310=0,AS310&gt;=#REF!),0,FV($O$1,AP311,-#REF!,0,1))</f>
        <v>#REF!</v>
      </c>
      <c r="AU311" s="5">
        <f t="shared" si="48"/>
        <v>0</v>
      </c>
    </row>
    <row r="312" spans="12:47" hidden="1" x14ac:dyDescent="0.25">
      <c r="L312" s="2">
        <f t="shared" si="57"/>
        <v>2</v>
      </c>
      <c r="M312" s="45">
        <f t="shared" si="56"/>
        <v>24</v>
      </c>
      <c r="N312" s="36">
        <v>292</v>
      </c>
      <c r="O312" s="91">
        <f t="shared" si="50"/>
        <v>0</v>
      </c>
      <c r="P312" s="38">
        <f t="shared" si="51"/>
        <v>0</v>
      </c>
      <c r="W312" s="26">
        <f t="shared" si="52"/>
        <v>0</v>
      </c>
      <c r="X312" s="5">
        <f t="shared" si="53"/>
        <v>0</v>
      </c>
      <c r="Y312" s="5"/>
      <c r="AA312" s="63">
        <f t="shared" si="54"/>
        <v>0</v>
      </c>
      <c r="AB312" s="5">
        <f t="shared" si="55"/>
        <v>0</v>
      </c>
      <c r="AP312" s="3">
        <v>299</v>
      </c>
      <c r="AR312" s="14">
        <f t="shared" si="49"/>
        <v>0</v>
      </c>
      <c r="AS312" s="17" t="e">
        <f>IF(OR(AS311=0,AS311&gt;=#REF!),0,FV($O$1,AP312,-#REF!,0,1))</f>
        <v>#REF!</v>
      </c>
      <c r="AU312" s="5">
        <f t="shared" si="48"/>
        <v>0</v>
      </c>
    </row>
    <row r="313" spans="12:47" hidden="1" x14ac:dyDescent="0.25">
      <c r="L313" s="2">
        <f t="shared" si="57"/>
        <v>2</v>
      </c>
      <c r="M313" s="45">
        <f t="shared" si="56"/>
        <v>24</v>
      </c>
      <c r="N313" s="36">
        <v>293</v>
      </c>
      <c r="O313" s="91">
        <f t="shared" si="50"/>
        <v>0</v>
      </c>
      <c r="P313" s="38">
        <f t="shared" si="51"/>
        <v>0</v>
      </c>
      <c r="W313" s="26">
        <f t="shared" si="52"/>
        <v>0</v>
      </c>
      <c r="X313" s="5">
        <f t="shared" si="53"/>
        <v>0</v>
      </c>
      <c r="Y313" s="5"/>
      <c r="AA313" s="63">
        <f t="shared" si="54"/>
        <v>0</v>
      </c>
      <c r="AB313" s="5">
        <f t="shared" si="55"/>
        <v>0</v>
      </c>
      <c r="AP313" s="3">
        <v>300</v>
      </c>
      <c r="AR313" s="14">
        <f t="shared" si="49"/>
        <v>0</v>
      </c>
      <c r="AS313" s="17" t="e">
        <f>IF(OR(AS312=0,AS312&gt;=#REF!),0,FV($O$1,AP313,-#REF!,0,1))</f>
        <v>#REF!</v>
      </c>
      <c r="AU313" s="5">
        <f t="shared" si="48"/>
        <v>0</v>
      </c>
    </row>
    <row r="314" spans="12:47" hidden="1" x14ac:dyDescent="0.25">
      <c r="L314" s="2">
        <f t="shared" si="57"/>
        <v>2</v>
      </c>
      <c r="M314" s="45">
        <f t="shared" si="56"/>
        <v>24</v>
      </c>
      <c r="N314" s="36">
        <v>294</v>
      </c>
      <c r="O314" s="91">
        <f t="shared" si="50"/>
        <v>0</v>
      </c>
      <c r="P314" s="38">
        <f t="shared" si="51"/>
        <v>0</v>
      </c>
      <c r="W314" s="26">
        <f t="shared" si="52"/>
        <v>0</v>
      </c>
      <c r="X314" s="5">
        <f t="shared" si="53"/>
        <v>0</v>
      </c>
      <c r="Y314" s="5"/>
      <c r="AA314" s="63">
        <f t="shared" si="54"/>
        <v>0</v>
      </c>
      <c r="AB314" s="5">
        <f t="shared" si="55"/>
        <v>0</v>
      </c>
      <c r="AP314" s="3">
        <v>301</v>
      </c>
      <c r="AR314" s="14">
        <f t="shared" si="49"/>
        <v>0</v>
      </c>
      <c r="AS314" s="17" t="e">
        <f>IF(OR(AS313=0,AS313&gt;=#REF!),0,FV($O$1,AP314,-#REF!,0,1))</f>
        <v>#REF!</v>
      </c>
      <c r="AU314" s="5">
        <f t="shared" si="48"/>
        <v>0</v>
      </c>
    </row>
    <row r="315" spans="12:47" hidden="1" x14ac:dyDescent="0.25">
      <c r="L315" s="2">
        <f t="shared" si="57"/>
        <v>2</v>
      </c>
      <c r="M315" s="45">
        <f t="shared" si="56"/>
        <v>24</v>
      </c>
      <c r="N315" s="36">
        <v>295</v>
      </c>
      <c r="O315" s="91">
        <f t="shared" si="50"/>
        <v>0</v>
      </c>
      <c r="P315" s="38">
        <f t="shared" si="51"/>
        <v>0</v>
      </c>
      <c r="W315" s="26">
        <f t="shared" si="52"/>
        <v>0</v>
      </c>
      <c r="X315" s="5">
        <f t="shared" si="53"/>
        <v>0</v>
      </c>
      <c r="Y315" s="5"/>
      <c r="AA315" s="63">
        <f t="shared" si="54"/>
        <v>0</v>
      </c>
      <c r="AB315" s="5">
        <f t="shared" si="55"/>
        <v>0</v>
      </c>
      <c r="AP315" s="3">
        <v>302</v>
      </c>
      <c r="AR315" s="14">
        <f t="shared" si="49"/>
        <v>0</v>
      </c>
      <c r="AS315" s="17" t="e">
        <f>IF(OR(AS314=0,AS314&gt;=#REF!),0,FV($O$1,AP315,-#REF!,0,1))</f>
        <v>#REF!</v>
      </c>
      <c r="AU315" s="5">
        <f t="shared" si="48"/>
        <v>0</v>
      </c>
    </row>
    <row r="316" spans="12:47" hidden="1" x14ac:dyDescent="0.25">
      <c r="L316" s="2">
        <f t="shared" si="57"/>
        <v>2</v>
      </c>
      <c r="M316" s="45">
        <f t="shared" si="56"/>
        <v>24</v>
      </c>
      <c r="N316" s="36">
        <v>296</v>
      </c>
      <c r="O316" s="91">
        <f t="shared" si="50"/>
        <v>0</v>
      </c>
      <c r="P316" s="38">
        <f t="shared" si="51"/>
        <v>0</v>
      </c>
      <c r="W316" s="26">
        <f t="shared" si="52"/>
        <v>0</v>
      </c>
      <c r="X316" s="5">
        <f t="shared" si="53"/>
        <v>0</v>
      </c>
      <c r="Y316" s="5"/>
      <c r="AA316" s="63">
        <f t="shared" si="54"/>
        <v>0</v>
      </c>
      <c r="AB316" s="5">
        <f t="shared" si="55"/>
        <v>0</v>
      </c>
      <c r="AP316" s="3">
        <v>303</v>
      </c>
      <c r="AR316" s="14">
        <f t="shared" si="49"/>
        <v>0</v>
      </c>
      <c r="AS316" s="17" t="e">
        <f>IF(OR(AS315=0,AS315&gt;=#REF!),0,FV($O$1,AP316,-#REF!,0,1))</f>
        <v>#REF!</v>
      </c>
      <c r="AU316" s="5">
        <f t="shared" si="48"/>
        <v>0</v>
      </c>
    </row>
    <row r="317" spans="12:47" hidden="1" x14ac:dyDescent="0.25">
      <c r="L317" s="2">
        <f t="shared" si="57"/>
        <v>2</v>
      </c>
      <c r="M317" s="45">
        <f t="shared" si="56"/>
        <v>24</v>
      </c>
      <c r="N317" s="36">
        <v>297</v>
      </c>
      <c r="O317" s="91">
        <f t="shared" si="50"/>
        <v>0</v>
      </c>
      <c r="P317" s="38">
        <f t="shared" si="51"/>
        <v>0</v>
      </c>
      <c r="W317" s="26">
        <f t="shared" si="52"/>
        <v>0</v>
      </c>
      <c r="X317" s="5">
        <f t="shared" si="53"/>
        <v>0</v>
      </c>
      <c r="Y317" s="5"/>
      <c r="AA317" s="63">
        <f t="shared" si="54"/>
        <v>0</v>
      </c>
      <c r="AB317" s="5">
        <f t="shared" si="55"/>
        <v>0</v>
      </c>
      <c r="AP317" s="3">
        <v>304</v>
      </c>
      <c r="AR317" s="14">
        <f t="shared" si="49"/>
        <v>0</v>
      </c>
      <c r="AS317" s="17" t="e">
        <f>IF(OR(AS316=0,AS316&gt;=#REF!),0,FV($O$1,AP317,-#REF!,0,1))</f>
        <v>#REF!</v>
      </c>
      <c r="AU317" s="5">
        <f t="shared" si="48"/>
        <v>0</v>
      </c>
    </row>
    <row r="318" spans="12:47" hidden="1" x14ac:dyDescent="0.25">
      <c r="L318" s="2">
        <f t="shared" si="57"/>
        <v>2</v>
      </c>
      <c r="M318" s="45">
        <f t="shared" si="56"/>
        <v>24</v>
      </c>
      <c r="N318" s="36">
        <v>298</v>
      </c>
      <c r="O318" s="91">
        <f t="shared" si="50"/>
        <v>0</v>
      </c>
      <c r="P318" s="38">
        <f t="shared" si="51"/>
        <v>0</v>
      </c>
      <c r="W318" s="26">
        <f t="shared" si="52"/>
        <v>0</v>
      </c>
      <c r="X318" s="5">
        <f t="shared" si="53"/>
        <v>0</v>
      </c>
      <c r="Y318" s="5"/>
      <c r="AA318" s="63">
        <f t="shared" si="54"/>
        <v>0</v>
      </c>
      <c r="AB318" s="5">
        <f t="shared" si="55"/>
        <v>0</v>
      </c>
      <c r="AP318" s="3">
        <v>305</v>
      </c>
      <c r="AR318" s="14">
        <f t="shared" si="49"/>
        <v>0</v>
      </c>
      <c r="AS318" s="17" t="e">
        <f>IF(OR(AS317=0,AS317&gt;=#REF!),0,FV($O$1,AP318,-#REF!,0,1))</f>
        <v>#REF!</v>
      </c>
      <c r="AU318" s="5">
        <f t="shared" si="48"/>
        <v>0</v>
      </c>
    </row>
    <row r="319" spans="12:47" hidden="1" x14ac:dyDescent="0.25">
      <c r="L319" s="2">
        <f t="shared" si="57"/>
        <v>2</v>
      </c>
      <c r="M319" s="45">
        <f t="shared" si="56"/>
        <v>24</v>
      </c>
      <c r="N319" s="36">
        <v>299</v>
      </c>
      <c r="O319" s="91">
        <f t="shared" si="50"/>
        <v>0</v>
      </c>
      <c r="P319" s="38">
        <f t="shared" si="51"/>
        <v>0</v>
      </c>
      <c r="W319" s="26">
        <f t="shared" si="52"/>
        <v>0</v>
      </c>
      <c r="X319" s="5">
        <f t="shared" si="53"/>
        <v>0</v>
      </c>
      <c r="Y319" s="5"/>
      <c r="AA319" s="63">
        <f t="shared" si="54"/>
        <v>0</v>
      </c>
      <c r="AB319" s="5">
        <f t="shared" si="55"/>
        <v>0</v>
      </c>
      <c r="AP319" s="3">
        <v>306</v>
      </c>
      <c r="AR319" s="14">
        <f t="shared" si="49"/>
        <v>0</v>
      </c>
      <c r="AS319" s="17" t="e">
        <f>IF(OR(AS318=0,AS318&gt;=#REF!),0,FV($O$1,AP319,-#REF!,0,1))</f>
        <v>#REF!</v>
      </c>
      <c r="AU319" s="5">
        <f t="shared" si="48"/>
        <v>0</v>
      </c>
    </row>
    <row r="320" spans="12:47" hidden="1" x14ac:dyDescent="0.25">
      <c r="L320" s="2">
        <f t="shared" si="57"/>
        <v>2</v>
      </c>
      <c r="M320" s="45">
        <f t="shared" si="56"/>
        <v>24</v>
      </c>
      <c r="N320" s="36">
        <v>300</v>
      </c>
      <c r="O320" s="91">
        <f t="shared" si="50"/>
        <v>0</v>
      </c>
      <c r="P320" s="38">
        <f t="shared" si="51"/>
        <v>0</v>
      </c>
      <c r="W320" s="26">
        <f t="shared" si="52"/>
        <v>0</v>
      </c>
      <c r="X320" s="5">
        <f t="shared" si="53"/>
        <v>0</v>
      </c>
      <c r="Y320" s="5"/>
      <c r="AA320" s="63">
        <f t="shared" si="54"/>
        <v>0</v>
      </c>
      <c r="AB320" s="5">
        <f t="shared" si="55"/>
        <v>0</v>
      </c>
      <c r="AP320" s="3">
        <v>307</v>
      </c>
      <c r="AR320" s="14">
        <f t="shared" si="49"/>
        <v>0</v>
      </c>
      <c r="AS320" s="17" t="e">
        <f>IF(OR(AS319=0,AS319&gt;=#REF!),0,FV($O$1,AP320,-#REF!,0,1))</f>
        <v>#REF!</v>
      </c>
      <c r="AU320" s="5">
        <f t="shared" si="48"/>
        <v>0</v>
      </c>
    </row>
    <row r="321" spans="12:47" hidden="1" x14ac:dyDescent="0.25">
      <c r="L321" s="2" t="str">
        <f t="shared" si="57"/>
        <v/>
      </c>
      <c r="M321" s="45">
        <f t="shared" si="56"/>
        <v>25</v>
      </c>
      <c r="N321" s="36">
        <v>301</v>
      </c>
      <c r="O321" s="91">
        <f t="shared" si="50"/>
        <v>0</v>
      </c>
      <c r="P321" s="38">
        <f t="shared" si="51"/>
        <v>0</v>
      </c>
      <c r="W321" s="26">
        <f t="shared" si="52"/>
        <v>0</v>
      </c>
      <c r="X321" s="5">
        <f t="shared" si="53"/>
        <v>0</v>
      </c>
      <c r="Y321" s="5"/>
      <c r="AA321" s="63">
        <f t="shared" si="54"/>
        <v>0</v>
      </c>
      <c r="AB321" s="5">
        <f t="shared" si="55"/>
        <v>0</v>
      </c>
      <c r="AP321" s="3">
        <v>308</v>
      </c>
      <c r="AR321" s="14">
        <f t="shared" si="49"/>
        <v>0</v>
      </c>
      <c r="AS321" s="17" t="e">
        <f>IF(OR(AS320=0,AS320&gt;=#REF!),0,FV($O$1,AP321,-#REF!,0,1))</f>
        <v>#REF!</v>
      </c>
      <c r="AU321" s="5">
        <f t="shared" si="48"/>
        <v>0</v>
      </c>
    </row>
    <row r="322" spans="12:47" hidden="1" x14ac:dyDescent="0.25">
      <c r="L322" s="2" t="str">
        <f t="shared" si="57"/>
        <v/>
      </c>
      <c r="M322" s="45">
        <f t="shared" si="56"/>
        <v>25</v>
      </c>
      <c r="N322" s="36">
        <v>302</v>
      </c>
      <c r="O322" s="91">
        <f t="shared" si="50"/>
        <v>0</v>
      </c>
      <c r="P322" s="38">
        <f t="shared" si="51"/>
        <v>0</v>
      </c>
      <c r="W322" s="26">
        <f t="shared" si="52"/>
        <v>0</v>
      </c>
      <c r="X322" s="5">
        <f t="shared" si="53"/>
        <v>0</v>
      </c>
      <c r="Y322" s="5"/>
      <c r="AA322" s="63">
        <f t="shared" si="54"/>
        <v>0</v>
      </c>
      <c r="AB322" s="5">
        <f t="shared" si="55"/>
        <v>0</v>
      </c>
      <c r="AP322" s="3">
        <v>309</v>
      </c>
      <c r="AR322" s="14">
        <f t="shared" si="49"/>
        <v>0</v>
      </c>
      <c r="AS322" s="17" t="e">
        <f>IF(OR(AS321=0,AS321&gt;=#REF!),0,FV($O$1,AP322,-#REF!,0,1))</f>
        <v>#REF!</v>
      </c>
      <c r="AU322" s="5">
        <f t="shared" si="48"/>
        <v>0</v>
      </c>
    </row>
    <row r="323" spans="12:47" hidden="1" x14ac:dyDescent="0.25">
      <c r="L323" s="2" t="str">
        <f t="shared" si="57"/>
        <v/>
      </c>
      <c r="M323" s="45">
        <f t="shared" si="56"/>
        <v>25</v>
      </c>
      <c r="N323" s="36">
        <v>303</v>
      </c>
      <c r="O323" s="91">
        <f t="shared" si="50"/>
        <v>0</v>
      </c>
      <c r="P323" s="38">
        <f t="shared" si="51"/>
        <v>0</v>
      </c>
      <c r="W323" s="26">
        <f t="shared" si="52"/>
        <v>0</v>
      </c>
      <c r="X323" s="5">
        <f t="shared" si="53"/>
        <v>0</v>
      </c>
      <c r="Y323" s="5"/>
      <c r="AA323" s="63">
        <f t="shared" si="54"/>
        <v>0</v>
      </c>
      <c r="AB323" s="5">
        <f t="shared" si="55"/>
        <v>0</v>
      </c>
      <c r="AP323" s="3">
        <v>310</v>
      </c>
      <c r="AR323" s="14">
        <f t="shared" si="49"/>
        <v>0</v>
      </c>
      <c r="AS323" s="17" t="e">
        <f>IF(OR(AS322=0,AS322&gt;=#REF!),0,FV($O$1,AP323,-#REF!,0,1))</f>
        <v>#REF!</v>
      </c>
      <c r="AU323" s="5">
        <f t="shared" si="48"/>
        <v>0</v>
      </c>
    </row>
    <row r="324" spans="12:47" hidden="1" x14ac:dyDescent="0.25">
      <c r="L324" s="2" t="str">
        <f t="shared" si="57"/>
        <v/>
      </c>
      <c r="M324" s="45">
        <f t="shared" si="56"/>
        <v>25</v>
      </c>
      <c r="N324" s="36">
        <v>304</v>
      </c>
      <c r="O324" s="91">
        <f t="shared" si="50"/>
        <v>0</v>
      </c>
      <c r="P324" s="38">
        <f t="shared" si="51"/>
        <v>0</v>
      </c>
      <c r="W324" s="26">
        <f t="shared" si="52"/>
        <v>0</v>
      </c>
      <c r="X324" s="5">
        <f t="shared" si="53"/>
        <v>0</v>
      </c>
      <c r="Y324" s="5"/>
      <c r="AA324" s="63">
        <f t="shared" si="54"/>
        <v>0</v>
      </c>
      <c r="AB324" s="5">
        <f t="shared" si="55"/>
        <v>0</v>
      </c>
      <c r="AP324" s="3">
        <v>311</v>
      </c>
      <c r="AR324" s="14">
        <f t="shared" si="49"/>
        <v>0</v>
      </c>
      <c r="AS324" s="17" t="e">
        <f>IF(OR(AS323=0,AS323&gt;=#REF!),0,FV($O$1,AP324,-#REF!,0,1))</f>
        <v>#REF!</v>
      </c>
      <c r="AU324" s="5">
        <f t="shared" si="48"/>
        <v>0</v>
      </c>
    </row>
    <row r="325" spans="12:47" hidden="1" x14ac:dyDescent="0.25">
      <c r="L325" s="2" t="str">
        <f t="shared" si="57"/>
        <v/>
      </c>
      <c r="M325" s="45">
        <f t="shared" si="56"/>
        <v>25</v>
      </c>
      <c r="N325" s="36">
        <v>305</v>
      </c>
      <c r="O325" s="91">
        <f t="shared" si="50"/>
        <v>0</v>
      </c>
      <c r="P325" s="38">
        <f t="shared" si="51"/>
        <v>0</v>
      </c>
      <c r="W325" s="26">
        <f t="shared" si="52"/>
        <v>0</v>
      </c>
      <c r="X325" s="5">
        <f t="shared" si="53"/>
        <v>0</v>
      </c>
      <c r="Y325" s="5"/>
      <c r="AA325" s="63">
        <f t="shared" si="54"/>
        <v>0</v>
      </c>
      <c r="AB325" s="5">
        <f t="shared" si="55"/>
        <v>0</v>
      </c>
      <c r="AP325" s="3">
        <v>312</v>
      </c>
      <c r="AR325" s="14">
        <f t="shared" si="49"/>
        <v>0</v>
      </c>
      <c r="AS325" s="17" t="e">
        <f>IF(OR(AS324=0,AS324&gt;=#REF!),0,FV($O$1,AP325,-#REF!,0,1))</f>
        <v>#REF!</v>
      </c>
      <c r="AU325" s="5">
        <f t="shared" si="48"/>
        <v>0</v>
      </c>
    </row>
    <row r="326" spans="12:47" hidden="1" x14ac:dyDescent="0.25">
      <c r="L326" s="2" t="str">
        <f t="shared" si="57"/>
        <v/>
      </c>
      <c r="M326" s="45">
        <f t="shared" si="56"/>
        <v>25</v>
      </c>
      <c r="N326" s="36">
        <v>306</v>
      </c>
      <c r="O326" s="91">
        <f t="shared" si="50"/>
        <v>0</v>
      </c>
      <c r="P326" s="38">
        <f t="shared" si="51"/>
        <v>0</v>
      </c>
      <c r="W326" s="26">
        <f t="shared" si="52"/>
        <v>0</v>
      </c>
      <c r="X326" s="5">
        <f t="shared" si="53"/>
        <v>0</v>
      </c>
      <c r="Y326" s="5"/>
      <c r="AA326" s="63">
        <f t="shared" si="54"/>
        <v>0</v>
      </c>
      <c r="AB326" s="5">
        <f t="shared" si="55"/>
        <v>0</v>
      </c>
      <c r="AP326" s="3">
        <v>313</v>
      </c>
      <c r="AR326" s="14">
        <f t="shared" si="49"/>
        <v>0</v>
      </c>
      <c r="AS326" s="17" t="e">
        <f>IF(OR(AS325=0,AS325&gt;=#REF!),0,FV($O$1,AP326,-#REF!,0,1))</f>
        <v>#REF!</v>
      </c>
      <c r="AU326" s="5">
        <f t="shared" si="48"/>
        <v>0</v>
      </c>
    </row>
    <row r="327" spans="12:47" hidden="1" x14ac:dyDescent="0.25">
      <c r="L327" s="2" t="str">
        <f t="shared" si="57"/>
        <v/>
      </c>
      <c r="M327" s="45">
        <f t="shared" si="56"/>
        <v>25</v>
      </c>
      <c r="N327" s="36">
        <v>307</v>
      </c>
      <c r="O327" s="91">
        <f t="shared" si="50"/>
        <v>0</v>
      </c>
      <c r="P327" s="38">
        <f t="shared" si="51"/>
        <v>0</v>
      </c>
      <c r="W327" s="26">
        <f t="shared" si="52"/>
        <v>0</v>
      </c>
      <c r="X327" s="5">
        <f t="shared" si="53"/>
        <v>0</v>
      </c>
      <c r="Y327" s="5"/>
      <c r="AA327" s="63">
        <f t="shared" si="54"/>
        <v>0</v>
      </c>
      <c r="AB327" s="5">
        <f t="shared" si="55"/>
        <v>0</v>
      </c>
      <c r="AP327" s="3">
        <v>314</v>
      </c>
      <c r="AR327" s="14">
        <f t="shared" si="49"/>
        <v>0</v>
      </c>
      <c r="AS327" s="17" t="e">
        <f>IF(OR(AS326=0,AS326&gt;=#REF!),0,FV($O$1,AP327,-#REF!,0,1))</f>
        <v>#REF!</v>
      </c>
      <c r="AU327" s="5">
        <f t="shared" si="48"/>
        <v>0</v>
      </c>
    </row>
    <row r="328" spans="12:47" hidden="1" x14ac:dyDescent="0.25">
      <c r="L328" s="2" t="str">
        <f t="shared" si="57"/>
        <v/>
      </c>
      <c r="M328" s="45">
        <f t="shared" si="56"/>
        <v>25</v>
      </c>
      <c r="N328" s="36">
        <v>308</v>
      </c>
      <c r="O328" s="91">
        <f t="shared" si="50"/>
        <v>0</v>
      </c>
      <c r="P328" s="38">
        <f t="shared" si="51"/>
        <v>0</v>
      </c>
      <c r="W328" s="26">
        <f t="shared" si="52"/>
        <v>0</v>
      </c>
      <c r="X328" s="5">
        <f t="shared" si="53"/>
        <v>0</v>
      </c>
      <c r="Y328" s="5"/>
      <c r="AA328" s="63">
        <f t="shared" si="54"/>
        <v>0</v>
      </c>
      <c r="AB328" s="5">
        <f t="shared" si="55"/>
        <v>0</v>
      </c>
      <c r="AP328" s="3">
        <v>315</v>
      </c>
      <c r="AR328" s="14">
        <f t="shared" si="49"/>
        <v>0</v>
      </c>
      <c r="AS328" s="17" t="e">
        <f>IF(OR(AS327=0,AS327&gt;=#REF!),0,FV($O$1,AP328,-#REF!,0,1))</f>
        <v>#REF!</v>
      </c>
      <c r="AU328" s="5">
        <f t="shared" si="48"/>
        <v>0</v>
      </c>
    </row>
    <row r="329" spans="12:47" hidden="1" x14ac:dyDescent="0.25">
      <c r="L329" s="2" t="str">
        <f t="shared" si="57"/>
        <v/>
      </c>
      <c r="M329" s="45">
        <f t="shared" si="56"/>
        <v>25</v>
      </c>
      <c r="N329" s="36">
        <v>309</v>
      </c>
      <c r="O329" s="91">
        <f t="shared" si="50"/>
        <v>0</v>
      </c>
      <c r="P329" s="38">
        <f t="shared" si="51"/>
        <v>0</v>
      </c>
      <c r="W329" s="26">
        <f t="shared" si="52"/>
        <v>0</v>
      </c>
      <c r="X329" s="5">
        <f t="shared" si="53"/>
        <v>0</v>
      </c>
      <c r="Y329" s="5"/>
      <c r="AA329" s="63">
        <f t="shared" si="54"/>
        <v>0</v>
      </c>
      <c r="AB329" s="5">
        <f t="shared" si="55"/>
        <v>0</v>
      </c>
      <c r="AP329" s="3">
        <v>316</v>
      </c>
      <c r="AR329" s="14">
        <f t="shared" si="49"/>
        <v>0</v>
      </c>
      <c r="AS329" s="17" t="e">
        <f>IF(OR(AS328=0,AS328&gt;=#REF!),0,FV($O$1,AP329,-#REF!,0,1))</f>
        <v>#REF!</v>
      </c>
      <c r="AU329" s="5">
        <f t="shared" si="48"/>
        <v>0</v>
      </c>
    </row>
    <row r="330" spans="12:47" hidden="1" x14ac:dyDescent="0.25">
      <c r="L330" s="2" t="str">
        <f t="shared" si="57"/>
        <v/>
      </c>
      <c r="M330" s="45">
        <f t="shared" si="56"/>
        <v>25</v>
      </c>
      <c r="N330" s="36">
        <v>310</v>
      </c>
      <c r="O330" s="91">
        <f t="shared" si="50"/>
        <v>0</v>
      </c>
      <c r="P330" s="38">
        <f t="shared" si="51"/>
        <v>0</v>
      </c>
      <c r="W330" s="26">
        <f t="shared" si="52"/>
        <v>0</v>
      </c>
      <c r="X330" s="5">
        <f t="shared" si="53"/>
        <v>0</v>
      </c>
      <c r="Y330" s="5"/>
      <c r="AA330" s="63">
        <f t="shared" si="54"/>
        <v>0</v>
      </c>
      <c r="AB330" s="5">
        <f t="shared" si="55"/>
        <v>0</v>
      </c>
      <c r="AP330" s="3">
        <v>317</v>
      </c>
      <c r="AR330" s="14">
        <f t="shared" si="49"/>
        <v>0</v>
      </c>
      <c r="AS330" s="17" t="e">
        <f>IF(OR(AS329=0,AS329&gt;=#REF!),0,FV($O$1,AP330,-#REF!,0,1))</f>
        <v>#REF!</v>
      </c>
      <c r="AU330" s="5">
        <f t="shared" si="48"/>
        <v>0</v>
      </c>
    </row>
    <row r="331" spans="12:47" hidden="1" x14ac:dyDescent="0.25">
      <c r="L331" s="2" t="str">
        <f t="shared" si="57"/>
        <v/>
      </c>
      <c r="M331" s="45">
        <f t="shared" si="56"/>
        <v>25</v>
      </c>
      <c r="N331" s="36">
        <v>311</v>
      </c>
      <c r="O331" s="91">
        <f t="shared" si="50"/>
        <v>0</v>
      </c>
      <c r="P331" s="38">
        <f t="shared" si="51"/>
        <v>0</v>
      </c>
      <c r="W331" s="26">
        <f t="shared" si="52"/>
        <v>0</v>
      </c>
      <c r="X331" s="5">
        <f t="shared" si="53"/>
        <v>0</v>
      </c>
      <c r="Y331" s="5"/>
      <c r="AA331" s="63">
        <f t="shared" si="54"/>
        <v>0</v>
      </c>
      <c r="AB331" s="5">
        <f t="shared" si="55"/>
        <v>0</v>
      </c>
      <c r="AP331" s="3">
        <v>318</v>
      </c>
      <c r="AR331" s="14">
        <f t="shared" si="49"/>
        <v>0</v>
      </c>
      <c r="AS331" s="17" t="e">
        <f>IF(OR(AS330=0,AS330&gt;=#REF!),0,FV($O$1,AP331,-#REF!,0,1))</f>
        <v>#REF!</v>
      </c>
      <c r="AU331" s="5">
        <f t="shared" si="48"/>
        <v>0</v>
      </c>
    </row>
    <row r="332" spans="12:47" hidden="1" x14ac:dyDescent="0.25">
      <c r="L332" s="2" t="str">
        <f t="shared" si="57"/>
        <v/>
      </c>
      <c r="M332" s="45">
        <f t="shared" si="56"/>
        <v>25</v>
      </c>
      <c r="N332" s="36">
        <v>312</v>
      </c>
      <c r="O332" s="91">
        <f t="shared" si="50"/>
        <v>0</v>
      </c>
      <c r="P332" s="38">
        <f t="shared" si="51"/>
        <v>0</v>
      </c>
      <c r="W332" s="26">
        <f t="shared" si="52"/>
        <v>0</v>
      </c>
      <c r="X332" s="5">
        <f t="shared" si="53"/>
        <v>0</v>
      </c>
      <c r="Y332" s="5"/>
      <c r="AA332" s="63">
        <f t="shared" si="54"/>
        <v>0</v>
      </c>
      <c r="AB332" s="5">
        <f t="shared" si="55"/>
        <v>0</v>
      </c>
      <c r="AP332" s="3">
        <v>319</v>
      </c>
      <c r="AR332" s="14">
        <f t="shared" si="49"/>
        <v>0</v>
      </c>
      <c r="AS332" s="17" t="e">
        <f>IF(OR(AS331=0,AS331&gt;=#REF!),0,FV($O$1,AP332,-#REF!,0,1))</f>
        <v>#REF!</v>
      </c>
      <c r="AU332" s="5">
        <f t="shared" si="48"/>
        <v>0</v>
      </c>
    </row>
    <row r="333" spans="12:47" hidden="1" x14ac:dyDescent="0.25">
      <c r="L333" s="2" t="str">
        <f t="shared" si="57"/>
        <v/>
      </c>
      <c r="M333" s="45">
        <f t="shared" si="56"/>
        <v>26</v>
      </c>
      <c r="N333" s="36">
        <v>313</v>
      </c>
      <c r="O333" s="91">
        <f t="shared" si="50"/>
        <v>0</v>
      </c>
      <c r="P333" s="38">
        <f t="shared" si="51"/>
        <v>0</v>
      </c>
      <c r="W333" s="26">
        <f t="shared" si="52"/>
        <v>0</v>
      </c>
      <c r="X333" s="5">
        <f t="shared" si="53"/>
        <v>0</v>
      </c>
      <c r="Y333" s="5"/>
      <c r="AA333" s="63">
        <f t="shared" si="54"/>
        <v>0</v>
      </c>
      <c r="AB333" s="5">
        <f t="shared" si="55"/>
        <v>0</v>
      </c>
      <c r="AP333" s="3">
        <v>320</v>
      </c>
      <c r="AR333" s="14">
        <f t="shared" si="49"/>
        <v>0</v>
      </c>
      <c r="AS333" s="17" t="e">
        <f>IF(OR(AS332=0,AS332&gt;=#REF!),0,FV($O$1,AP333,-#REF!,0,1))</f>
        <v>#REF!</v>
      </c>
      <c r="AU333" s="5">
        <f t="shared" si="48"/>
        <v>0</v>
      </c>
    </row>
    <row r="334" spans="12:47" hidden="1" x14ac:dyDescent="0.25">
      <c r="L334" s="2" t="str">
        <f t="shared" si="57"/>
        <v/>
      </c>
      <c r="M334" s="45">
        <f t="shared" si="56"/>
        <v>26</v>
      </c>
      <c r="N334" s="36">
        <v>314</v>
      </c>
      <c r="O334" s="91">
        <f t="shared" si="50"/>
        <v>0</v>
      </c>
      <c r="P334" s="38">
        <f t="shared" si="51"/>
        <v>0</v>
      </c>
      <c r="W334" s="26">
        <f t="shared" si="52"/>
        <v>0</v>
      </c>
      <c r="X334" s="5">
        <f t="shared" si="53"/>
        <v>0</v>
      </c>
      <c r="Y334" s="5"/>
      <c r="AA334" s="63">
        <f t="shared" si="54"/>
        <v>0</v>
      </c>
      <c r="AB334" s="5">
        <f t="shared" si="55"/>
        <v>0</v>
      </c>
      <c r="AP334" s="3">
        <v>321</v>
      </c>
      <c r="AR334" s="14">
        <f t="shared" si="49"/>
        <v>0</v>
      </c>
      <c r="AS334" s="17" t="e">
        <f>IF(OR(AS333=0,AS333&gt;=#REF!),0,FV($O$1,AP334,-#REF!,0,1))</f>
        <v>#REF!</v>
      </c>
      <c r="AU334" s="5">
        <f t="shared" si="48"/>
        <v>0</v>
      </c>
    </row>
    <row r="335" spans="12:47" hidden="1" x14ac:dyDescent="0.25">
      <c r="L335" s="2" t="str">
        <f t="shared" si="57"/>
        <v/>
      </c>
      <c r="M335" s="45">
        <f t="shared" si="56"/>
        <v>26</v>
      </c>
      <c r="N335" s="36">
        <v>315</v>
      </c>
      <c r="O335" s="91">
        <f t="shared" si="50"/>
        <v>0</v>
      </c>
      <c r="P335" s="38">
        <f t="shared" si="51"/>
        <v>0</v>
      </c>
      <c r="W335" s="26">
        <f t="shared" si="52"/>
        <v>0</v>
      </c>
      <c r="X335" s="5">
        <f t="shared" si="53"/>
        <v>0</v>
      </c>
      <c r="Y335" s="5"/>
      <c r="AA335" s="63">
        <f t="shared" si="54"/>
        <v>0</v>
      </c>
      <c r="AB335" s="5">
        <f t="shared" si="55"/>
        <v>0</v>
      </c>
      <c r="AP335" s="3">
        <v>322</v>
      </c>
      <c r="AR335" s="14">
        <f t="shared" si="49"/>
        <v>0</v>
      </c>
      <c r="AS335" s="17" t="e">
        <f>IF(OR(AS334=0,AS334&gt;=#REF!),0,FV($O$1,AP335,-#REF!,0,1))</f>
        <v>#REF!</v>
      </c>
      <c r="AU335" s="5">
        <f t="shared" ref="AU335:AU398" si="58">X342</f>
        <v>0</v>
      </c>
    </row>
    <row r="336" spans="12:47" hidden="1" x14ac:dyDescent="0.25">
      <c r="L336" s="2" t="str">
        <f t="shared" si="57"/>
        <v/>
      </c>
      <c r="M336" s="45">
        <f t="shared" si="56"/>
        <v>26</v>
      </c>
      <c r="N336" s="36">
        <v>316</v>
      </c>
      <c r="O336" s="91">
        <f t="shared" si="50"/>
        <v>0</v>
      </c>
      <c r="P336" s="38">
        <f t="shared" si="51"/>
        <v>0</v>
      </c>
      <c r="W336" s="26">
        <f t="shared" si="52"/>
        <v>0</v>
      </c>
      <c r="X336" s="5">
        <f t="shared" si="53"/>
        <v>0</v>
      </c>
      <c r="Y336" s="5"/>
      <c r="AA336" s="63">
        <f t="shared" si="54"/>
        <v>0</v>
      </c>
      <c r="AB336" s="5">
        <f t="shared" si="55"/>
        <v>0</v>
      </c>
      <c r="AP336" s="3">
        <v>323</v>
      </c>
      <c r="AR336" s="14">
        <f t="shared" si="49"/>
        <v>0</v>
      </c>
      <c r="AS336" s="17" t="e">
        <f>IF(OR(AS335=0,AS335&gt;=#REF!),0,FV($O$1,AP336,-#REF!,0,1))</f>
        <v>#REF!</v>
      </c>
      <c r="AU336" s="5">
        <f t="shared" si="58"/>
        <v>0</v>
      </c>
    </row>
    <row r="337" spans="12:47" hidden="1" x14ac:dyDescent="0.25">
      <c r="L337" s="2" t="str">
        <f t="shared" si="57"/>
        <v/>
      </c>
      <c r="M337" s="45">
        <f t="shared" si="56"/>
        <v>26</v>
      </c>
      <c r="N337" s="36">
        <v>317</v>
      </c>
      <c r="O337" s="91">
        <f t="shared" si="50"/>
        <v>0</v>
      </c>
      <c r="P337" s="38">
        <f t="shared" si="51"/>
        <v>0</v>
      </c>
      <c r="W337" s="26">
        <f t="shared" si="52"/>
        <v>0</v>
      </c>
      <c r="X337" s="5">
        <f t="shared" si="53"/>
        <v>0</v>
      </c>
      <c r="Y337" s="5"/>
      <c r="AA337" s="63">
        <f t="shared" si="54"/>
        <v>0</v>
      </c>
      <c r="AB337" s="5">
        <f t="shared" si="55"/>
        <v>0</v>
      </c>
      <c r="AP337" s="3">
        <v>324</v>
      </c>
      <c r="AR337" s="14">
        <f t="shared" si="49"/>
        <v>0</v>
      </c>
      <c r="AS337" s="17" t="e">
        <f>IF(OR(AS336=0,AS336&gt;=#REF!),0,FV($O$1,AP337,-#REF!,0,1))</f>
        <v>#REF!</v>
      </c>
      <c r="AU337" s="5">
        <f t="shared" si="58"/>
        <v>0</v>
      </c>
    </row>
    <row r="338" spans="12:47" hidden="1" x14ac:dyDescent="0.25">
      <c r="L338" s="2" t="str">
        <f t="shared" si="57"/>
        <v/>
      </c>
      <c r="M338" s="45">
        <f t="shared" si="56"/>
        <v>26</v>
      </c>
      <c r="N338" s="36">
        <v>318</v>
      </c>
      <c r="O338" s="91">
        <f t="shared" si="50"/>
        <v>0</v>
      </c>
      <c r="P338" s="38">
        <f t="shared" si="51"/>
        <v>0</v>
      </c>
      <c r="W338" s="26">
        <f t="shared" si="52"/>
        <v>0</v>
      </c>
      <c r="X338" s="5">
        <f t="shared" si="53"/>
        <v>0</v>
      </c>
      <c r="Y338" s="5"/>
      <c r="AA338" s="63">
        <f t="shared" si="54"/>
        <v>0</v>
      </c>
      <c r="AB338" s="5">
        <f t="shared" si="55"/>
        <v>0</v>
      </c>
      <c r="AP338" s="3">
        <v>325</v>
      </c>
      <c r="AR338" s="14">
        <f t="shared" ref="AR338:AR401" si="59">IF(AP338&lt;=$X$3,FV($O$1,AP338,-$X$5,0,1),0)</f>
        <v>0</v>
      </c>
      <c r="AS338" s="17" t="e">
        <f>IF(OR(AS337=0,AS337&gt;=#REF!),0,FV($O$1,AP338,-#REF!,0,1))</f>
        <v>#REF!</v>
      </c>
      <c r="AU338" s="5">
        <f t="shared" si="58"/>
        <v>0</v>
      </c>
    </row>
    <row r="339" spans="12:47" hidden="1" x14ac:dyDescent="0.25">
      <c r="L339" s="2" t="str">
        <f t="shared" si="57"/>
        <v/>
      </c>
      <c r="M339" s="45">
        <f t="shared" si="56"/>
        <v>26</v>
      </c>
      <c r="N339" s="36">
        <v>319</v>
      </c>
      <c r="O339" s="91">
        <f t="shared" si="50"/>
        <v>0</v>
      </c>
      <c r="P339" s="38">
        <f t="shared" si="51"/>
        <v>0</v>
      </c>
      <c r="W339" s="26">
        <f t="shared" si="52"/>
        <v>0</v>
      </c>
      <c r="X339" s="5">
        <f t="shared" si="53"/>
        <v>0</v>
      </c>
      <c r="Y339" s="5"/>
      <c r="AA339" s="63">
        <f t="shared" si="54"/>
        <v>0</v>
      </c>
      <c r="AB339" s="5">
        <f t="shared" si="55"/>
        <v>0</v>
      </c>
      <c r="AP339" s="3">
        <v>326</v>
      </c>
      <c r="AR339" s="14">
        <f t="shared" si="59"/>
        <v>0</v>
      </c>
      <c r="AS339" s="17" t="e">
        <f>IF(OR(AS338=0,AS338&gt;=#REF!),0,FV($O$1,AP339,-#REF!,0,1))</f>
        <v>#REF!</v>
      </c>
      <c r="AU339" s="5">
        <f t="shared" si="58"/>
        <v>0</v>
      </c>
    </row>
    <row r="340" spans="12:47" hidden="1" x14ac:dyDescent="0.25">
      <c r="L340" s="2" t="str">
        <f t="shared" si="57"/>
        <v/>
      </c>
      <c r="M340" s="45">
        <f t="shared" si="56"/>
        <v>26</v>
      </c>
      <c r="N340" s="36">
        <v>320</v>
      </c>
      <c r="O340" s="91">
        <f t="shared" si="50"/>
        <v>0</v>
      </c>
      <c r="P340" s="38">
        <f t="shared" si="51"/>
        <v>0</v>
      </c>
      <c r="W340" s="26">
        <f t="shared" si="52"/>
        <v>0</v>
      </c>
      <c r="X340" s="5">
        <f t="shared" si="53"/>
        <v>0</v>
      </c>
      <c r="Y340" s="5"/>
      <c r="AA340" s="63">
        <f t="shared" si="54"/>
        <v>0</v>
      </c>
      <c r="AB340" s="5">
        <f t="shared" si="55"/>
        <v>0</v>
      </c>
      <c r="AP340" s="3">
        <v>327</v>
      </c>
      <c r="AR340" s="14">
        <f t="shared" si="59"/>
        <v>0</v>
      </c>
      <c r="AS340" s="17" t="e">
        <f>IF(OR(AS339=0,AS339&gt;=#REF!),0,FV($O$1,AP340,-#REF!,0,1))</f>
        <v>#REF!</v>
      </c>
      <c r="AU340" s="5">
        <f t="shared" si="58"/>
        <v>0</v>
      </c>
    </row>
    <row r="341" spans="12:47" hidden="1" x14ac:dyDescent="0.25">
      <c r="L341" s="2" t="str">
        <f t="shared" si="57"/>
        <v/>
      </c>
      <c r="M341" s="45">
        <f t="shared" si="56"/>
        <v>26</v>
      </c>
      <c r="N341" s="36">
        <v>321</v>
      </c>
      <c r="O341" s="91">
        <f t="shared" ref="O341:O404" si="60">IF(N341&lt;=InvMonths,SU_Amt*(1+GRate)^M341,0)</f>
        <v>0</v>
      </c>
      <c r="P341" s="38">
        <f t="shared" ref="P341:P404" si="61">FV(SIPRate,InvMonths-N341+1,0,-O341,1)</f>
        <v>0</v>
      </c>
      <c r="W341" s="26">
        <f t="shared" ref="W341:W404" si="62">IF(N341&lt;=InvMonths,$X$18,0)</f>
        <v>0</v>
      </c>
      <c r="X341" s="5">
        <f t="shared" ref="X341:X404" si="63">FV(SIPRate,(InvMonths-N341+1),0,-W341,1)</f>
        <v>0</v>
      </c>
      <c r="Y341" s="5"/>
      <c r="AA341" s="63">
        <f t="shared" ref="AA341:AA404" si="64">IF(N341&lt;=InvMonths,$AB$18*(1+$C$32)^M341,0)</f>
        <v>0</v>
      </c>
      <c r="AB341" s="5">
        <f t="shared" ref="AB341:AB404" si="65">FV(SIPRate,(InvMonths-N341+1),0,-AA341,1)</f>
        <v>0</v>
      </c>
      <c r="AP341" s="3">
        <v>328</v>
      </c>
      <c r="AR341" s="14">
        <f t="shared" si="59"/>
        <v>0</v>
      </c>
      <c r="AS341" s="17" t="e">
        <f>IF(OR(AS340=0,AS340&gt;=#REF!),0,FV($O$1,AP341,-#REF!,0,1))</f>
        <v>#REF!</v>
      </c>
      <c r="AU341" s="5">
        <f t="shared" si="58"/>
        <v>0</v>
      </c>
    </row>
    <row r="342" spans="12:47" hidden="1" x14ac:dyDescent="0.25">
      <c r="L342" s="2" t="str">
        <f t="shared" si="57"/>
        <v/>
      </c>
      <c r="M342" s="45">
        <f t="shared" ref="M342:M405" si="66">IF(MOD(N342,12)=0,(N342/12)-1,QUOTIENT(N342,12))</f>
        <v>26</v>
      </c>
      <c r="N342" s="36">
        <v>322</v>
      </c>
      <c r="O342" s="91">
        <f t="shared" si="60"/>
        <v>0</v>
      </c>
      <c r="P342" s="38">
        <f t="shared" si="61"/>
        <v>0</v>
      </c>
      <c r="W342" s="26">
        <f t="shared" si="62"/>
        <v>0</v>
      </c>
      <c r="X342" s="5">
        <f t="shared" si="63"/>
        <v>0</v>
      </c>
      <c r="Y342" s="5"/>
      <c r="AA342" s="63">
        <f t="shared" si="64"/>
        <v>0</v>
      </c>
      <c r="AB342" s="5">
        <f t="shared" si="65"/>
        <v>0</v>
      </c>
      <c r="AP342" s="3">
        <v>329</v>
      </c>
      <c r="AR342" s="14">
        <f t="shared" si="59"/>
        <v>0</v>
      </c>
      <c r="AS342" s="17" t="e">
        <f>IF(OR(AS341=0,AS341&gt;=#REF!),0,FV($O$1,AP342,-#REF!,0,1))</f>
        <v>#REF!</v>
      </c>
      <c r="AU342" s="5">
        <f t="shared" si="58"/>
        <v>0</v>
      </c>
    </row>
    <row r="343" spans="12:47" hidden="1" x14ac:dyDescent="0.25">
      <c r="L343" s="2" t="str">
        <f t="shared" si="57"/>
        <v/>
      </c>
      <c r="M343" s="45">
        <f t="shared" si="66"/>
        <v>26</v>
      </c>
      <c r="N343" s="36">
        <v>323</v>
      </c>
      <c r="O343" s="91">
        <f t="shared" si="60"/>
        <v>0</v>
      </c>
      <c r="P343" s="38">
        <f t="shared" si="61"/>
        <v>0</v>
      </c>
      <c r="W343" s="26">
        <f t="shared" si="62"/>
        <v>0</v>
      </c>
      <c r="X343" s="5">
        <f t="shared" si="63"/>
        <v>0</v>
      </c>
      <c r="Y343" s="5"/>
      <c r="AA343" s="63">
        <f t="shared" si="64"/>
        <v>0</v>
      </c>
      <c r="AB343" s="5">
        <f t="shared" si="65"/>
        <v>0</v>
      </c>
      <c r="AP343" s="3">
        <v>330</v>
      </c>
      <c r="AR343" s="14">
        <f t="shared" si="59"/>
        <v>0</v>
      </c>
      <c r="AS343" s="17" t="e">
        <f>IF(OR(AS342=0,AS342&gt;=#REF!),0,FV($O$1,AP343,-#REF!,0,1))</f>
        <v>#REF!</v>
      </c>
      <c r="AU343" s="5">
        <f t="shared" si="58"/>
        <v>0</v>
      </c>
    </row>
    <row r="344" spans="12:47" hidden="1" x14ac:dyDescent="0.25">
      <c r="L344" s="2" t="str">
        <f t="shared" si="57"/>
        <v/>
      </c>
      <c r="M344" s="45">
        <f t="shared" si="66"/>
        <v>26</v>
      </c>
      <c r="N344" s="36">
        <v>324</v>
      </c>
      <c r="O344" s="91">
        <f t="shared" si="60"/>
        <v>0</v>
      </c>
      <c r="P344" s="38">
        <f t="shared" si="61"/>
        <v>0</v>
      </c>
      <c r="W344" s="26">
        <f t="shared" si="62"/>
        <v>0</v>
      </c>
      <c r="X344" s="5">
        <f t="shared" si="63"/>
        <v>0</v>
      </c>
      <c r="Y344" s="5"/>
      <c r="AA344" s="63">
        <f t="shared" si="64"/>
        <v>0</v>
      </c>
      <c r="AB344" s="5">
        <f t="shared" si="65"/>
        <v>0</v>
      </c>
      <c r="AP344" s="3">
        <v>331</v>
      </c>
      <c r="AR344" s="14">
        <f t="shared" si="59"/>
        <v>0</v>
      </c>
      <c r="AS344" s="17" t="e">
        <f>IF(OR(AS343=0,AS343&gt;=#REF!),0,FV($O$1,AP344,-#REF!,0,1))</f>
        <v>#REF!</v>
      </c>
      <c r="AU344" s="5">
        <f t="shared" si="58"/>
        <v>0</v>
      </c>
    </row>
    <row r="345" spans="12:47" hidden="1" x14ac:dyDescent="0.25">
      <c r="L345" s="2" t="str">
        <f t="shared" si="57"/>
        <v/>
      </c>
      <c r="M345" s="45">
        <f t="shared" si="66"/>
        <v>27</v>
      </c>
      <c r="N345" s="36">
        <v>325</v>
      </c>
      <c r="O345" s="91">
        <f t="shared" si="60"/>
        <v>0</v>
      </c>
      <c r="P345" s="38">
        <f t="shared" si="61"/>
        <v>0</v>
      </c>
      <c r="W345" s="26">
        <f t="shared" si="62"/>
        <v>0</v>
      </c>
      <c r="X345" s="5">
        <f t="shared" si="63"/>
        <v>0</v>
      </c>
      <c r="Y345" s="5"/>
      <c r="AA345" s="63">
        <f t="shared" si="64"/>
        <v>0</v>
      </c>
      <c r="AB345" s="5">
        <f t="shared" si="65"/>
        <v>0</v>
      </c>
      <c r="AP345" s="3">
        <v>332</v>
      </c>
      <c r="AR345" s="14">
        <f t="shared" si="59"/>
        <v>0</v>
      </c>
      <c r="AS345" s="17" t="e">
        <f>IF(OR(AS344=0,AS344&gt;=#REF!),0,FV($O$1,AP345,-#REF!,0,1))</f>
        <v>#REF!</v>
      </c>
      <c r="AU345" s="5">
        <f t="shared" si="58"/>
        <v>0</v>
      </c>
    </row>
    <row r="346" spans="12:47" hidden="1" x14ac:dyDescent="0.25">
      <c r="L346" s="2" t="str">
        <f t="shared" si="57"/>
        <v/>
      </c>
      <c r="M346" s="45">
        <f t="shared" si="66"/>
        <v>27</v>
      </c>
      <c r="N346" s="36">
        <v>326</v>
      </c>
      <c r="O346" s="91">
        <f t="shared" si="60"/>
        <v>0</v>
      </c>
      <c r="P346" s="38">
        <f t="shared" si="61"/>
        <v>0</v>
      </c>
      <c r="W346" s="26">
        <f t="shared" si="62"/>
        <v>0</v>
      </c>
      <c r="X346" s="5">
        <f t="shared" si="63"/>
        <v>0</v>
      </c>
      <c r="Y346" s="5"/>
      <c r="AA346" s="63">
        <f t="shared" si="64"/>
        <v>0</v>
      </c>
      <c r="AB346" s="5">
        <f t="shared" si="65"/>
        <v>0</v>
      </c>
      <c r="AP346" s="3">
        <v>333</v>
      </c>
      <c r="AR346" s="14">
        <f t="shared" si="59"/>
        <v>0</v>
      </c>
      <c r="AS346" s="17" t="e">
        <f>IF(OR(AS345=0,AS345&gt;=#REF!),0,FV($O$1,AP346,-#REF!,0,1))</f>
        <v>#REF!</v>
      </c>
      <c r="AU346" s="5">
        <f t="shared" si="58"/>
        <v>0</v>
      </c>
    </row>
    <row r="347" spans="12:47" hidden="1" x14ac:dyDescent="0.25">
      <c r="L347" s="2" t="str">
        <f t="shared" si="57"/>
        <v/>
      </c>
      <c r="M347" s="45">
        <f t="shared" si="66"/>
        <v>27</v>
      </c>
      <c r="N347" s="36">
        <v>327</v>
      </c>
      <c r="O347" s="91">
        <f t="shared" si="60"/>
        <v>0</v>
      </c>
      <c r="P347" s="38">
        <f t="shared" si="61"/>
        <v>0</v>
      </c>
      <c r="W347" s="26">
        <f t="shared" si="62"/>
        <v>0</v>
      </c>
      <c r="X347" s="5">
        <f t="shared" si="63"/>
        <v>0</v>
      </c>
      <c r="Y347" s="5"/>
      <c r="AA347" s="63">
        <f t="shared" si="64"/>
        <v>0</v>
      </c>
      <c r="AB347" s="5">
        <f t="shared" si="65"/>
        <v>0</v>
      </c>
      <c r="AP347" s="3">
        <v>334</v>
      </c>
      <c r="AR347" s="14">
        <f t="shared" si="59"/>
        <v>0</v>
      </c>
      <c r="AS347" s="17" t="e">
        <f>IF(OR(AS346=0,AS346&gt;=#REF!),0,FV($O$1,AP347,-#REF!,0,1))</f>
        <v>#REF!</v>
      </c>
      <c r="AU347" s="5">
        <f t="shared" si="58"/>
        <v>0</v>
      </c>
    </row>
    <row r="348" spans="12:47" hidden="1" x14ac:dyDescent="0.25">
      <c r="L348" s="2" t="str">
        <f t="shared" si="57"/>
        <v/>
      </c>
      <c r="M348" s="45">
        <f t="shared" si="66"/>
        <v>27</v>
      </c>
      <c r="N348" s="36">
        <v>328</v>
      </c>
      <c r="O348" s="91">
        <f t="shared" si="60"/>
        <v>0</v>
      </c>
      <c r="P348" s="38">
        <f t="shared" si="61"/>
        <v>0</v>
      </c>
      <c r="W348" s="26">
        <f t="shared" si="62"/>
        <v>0</v>
      </c>
      <c r="X348" s="5">
        <f t="shared" si="63"/>
        <v>0</v>
      </c>
      <c r="Y348" s="5"/>
      <c r="AA348" s="63">
        <f t="shared" si="64"/>
        <v>0</v>
      </c>
      <c r="AB348" s="5">
        <f t="shared" si="65"/>
        <v>0</v>
      </c>
      <c r="AP348" s="3">
        <v>335</v>
      </c>
      <c r="AR348" s="14">
        <f t="shared" si="59"/>
        <v>0</v>
      </c>
      <c r="AS348" s="17" t="e">
        <f>IF(OR(AS347=0,AS347&gt;=#REF!),0,FV($O$1,AP348,-#REF!,0,1))</f>
        <v>#REF!</v>
      </c>
      <c r="AU348" s="5">
        <f t="shared" si="58"/>
        <v>0</v>
      </c>
    </row>
    <row r="349" spans="12:47" hidden="1" x14ac:dyDescent="0.25">
      <c r="L349" s="2" t="str">
        <f t="shared" si="57"/>
        <v/>
      </c>
      <c r="M349" s="45">
        <f t="shared" si="66"/>
        <v>27</v>
      </c>
      <c r="N349" s="36">
        <v>329</v>
      </c>
      <c r="O349" s="91">
        <f t="shared" si="60"/>
        <v>0</v>
      </c>
      <c r="P349" s="38">
        <f t="shared" si="61"/>
        <v>0</v>
      </c>
      <c r="W349" s="26">
        <f t="shared" si="62"/>
        <v>0</v>
      </c>
      <c r="X349" s="5">
        <f t="shared" si="63"/>
        <v>0</v>
      </c>
      <c r="Y349" s="5"/>
      <c r="AA349" s="63">
        <f t="shared" si="64"/>
        <v>0</v>
      </c>
      <c r="AB349" s="5">
        <f t="shared" si="65"/>
        <v>0</v>
      </c>
      <c r="AP349" s="3">
        <v>336</v>
      </c>
      <c r="AR349" s="14">
        <f t="shared" si="59"/>
        <v>0</v>
      </c>
      <c r="AS349" s="17" t="e">
        <f>IF(OR(AS348=0,AS348&gt;=#REF!),0,FV($O$1,AP349,-#REF!,0,1))</f>
        <v>#REF!</v>
      </c>
      <c r="AU349" s="5">
        <f t="shared" si="58"/>
        <v>0</v>
      </c>
    </row>
    <row r="350" spans="12:47" hidden="1" x14ac:dyDescent="0.25">
      <c r="L350" s="2" t="str">
        <f t="shared" ref="L350:L413" si="67">IF(MOD(M350,12)=0,M350/12,"")</f>
        <v/>
      </c>
      <c r="M350" s="45">
        <f t="shared" si="66"/>
        <v>27</v>
      </c>
      <c r="N350" s="36">
        <v>330</v>
      </c>
      <c r="O350" s="91">
        <f t="shared" si="60"/>
        <v>0</v>
      </c>
      <c r="P350" s="38">
        <f t="shared" si="61"/>
        <v>0</v>
      </c>
      <c r="W350" s="26">
        <f t="shared" si="62"/>
        <v>0</v>
      </c>
      <c r="X350" s="5">
        <f t="shared" si="63"/>
        <v>0</v>
      </c>
      <c r="Y350" s="5"/>
      <c r="AA350" s="63">
        <f t="shared" si="64"/>
        <v>0</v>
      </c>
      <c r="AB350" s="5">
        <f t="shared" si="65"/>
        <v>0</v>
      </c>
      <c r="AP350" s="3">
        <v>337</v>
      </c>
      <c r="AR350" s="14">
        <f t="shared" si="59"/>
        <v>0</v>
      </c>
      <c r="AS350" s="17" t="e">
        <f>IF(OR(AS349=0,AS349&gt;=#REF!),0,FV($O$1,AP350,-#REF!,0,1))</f>
        <v>#REF!</v>
      </c>
      <c r="AU350" s="5">
        <f t="shared" si="58"/>
        <v>0</v>
      </c>
    </row>
    <row r="351" spans="12:47" hidden="1" x14ac:dyDescent="0.25">
      <c r="L351" s="2" t="str">
        <f t="shared" si="67"/>
        <v/>
      </c>
      <c r="M351" s="45">
        <f t="shared" si="66"/>
        <v>27</v>
      </c>
      <c r="N351" s="36">
        <v>331</v>
      </c>
      <c r="O351" s="91">
        <f t="shared" si="60"/>
        <v>0</v>
      </c>
      <c r="P351" s="38">
        <f t="shared" si="61"/>
        <v>0</v>
      </c>
      <c r="W351" s="26">
        <f t="shared" si="62"/>
        <v>0</v>
      </c>
      <c r="X351" s="5">
        <f t="shared" si="63"/>
        <v>0</v>
      </c>
      <c r="Y351" s="5"/>
      <c r="AA351" s="63">
        <f t="shared" si="64"/>
        <v>0</v>
      </c>
      <c r="AB351" s="5">
        <f t="shared" si="65"/>
        <v>0</v>
      </c>
      <c r="AP351" s="3">
        <v>338</v>
      </c>
      <c r="AR351" s="14">
        <f t="shared" si="59"/>
        <v>0</v>
      </c>
      <c r="AS351" s="17" t="e">
        <f>IF(OR(AS350=0,AS350&gt;=#REF!),0,FV($O$1,AP351,-#REF!,0,1))</f>
        <v>#REF!</v>
      </c>
      <c r="AU351" s="5">
        <f t="shared" si="58"/>
        <v>0</v>
      </c>
    </row>
    <row r="352" spans="12:47" hidden="1" x14ac:dyDescent="0.25">
      <c r="L352" s="2" t="str">
        <f t="shared" si="67"/>
        <v/>
      </c>
      <c r="M352" s="45">
        <f t="shared" si="66"/>
        <v>27</v>
      </c>
      <c r="N352" s="36">
        <v>332</v>
      </c>
      <c r="O352" s="91">
        <f t="shared" si="60"/>
        <v>0</v>
      </c>
      <c r="P352" s="38">
        <f t="shared" si="61"/>
        <v>0</v>
      </c>
      <c r="W352" s="26">
        <f t="shared" si="62"/>
        <v>0</v>
      </c>
      <c r="X352" s="5">
        <f t="shared" si="63"/>
        <v>0</v>
      </c>
      <c r="Y352" s="5"/>
      <c r="AA352" s="63">
        <f t="shared" si="64"/>
        <v>0</v>
      </c>
      <c r="AB352" s="5">
        <f t="shared" si="65"/>
        <v>0</v>
      </c>
      <c r="AP352" s="3">
        <v>339</v>
      </c>
      <c r="AR352" s="14">
        <f t="shared" si="59"/>
        <v>0</v>
      </c>
      <c r="AS352" s="17" t="e">
        <f>IF(OR(AS351=0,AS351&gt;=#REF!),0,FV($O$1,AP352,-#REF!,0,1))</f>
        <v>#REF!</v>
      </c>
      <c r="AU352" s="5">
        <f t="shared" si="58"/>
        <v>0</v>
      </c>
    </row>
    <row r="353" spans="12:47" hidden="1" x14ac:dyDescent="0.25">
      <c r="L353" s="2" t="str">
        <f t="shared" si="67"/>
        <v/>
      </c>
      <c r="M353" s="45">
        <f t="shared" si="66"/>
        <v>27</v>
      </c>
      <c r="N353" s="36">
        <v>333</v>
      </c>
      <c r="O353" s="91">
        <f t="shared" si="60"/>
        <v>0</v>
      </c>
      <c r="P353" s="38">
        <f t="shared" si="61"/>
        <v>0</v>
      </c>
      <c r="W353" s="26">
        <f t="shared" si="62"/>
        <v>0</v>
      </c>
      <c r="X353" s="5">
        <f t="shared" si="63"/>
        <v>0</v>
      </c>
      <c r="Y353" s="5"/>
      <c r="AA353" s="63">
        <f t="shared" si="64"/>
        <v>0</v>
      </c>
      <c r="AB353" s="5">
        <f t="shared" si="65"/>
        <v>0</v>
      </c>
      <c r="AP353" s="3">
        <v>340</v>
      </c>
      <c r="AR353" s="14">
        <f t="shared" si="59"/>
        <v>0</v>
      </c>
      <c r="AS353" s="17" t="e">
        <f>IF(OR(AS352=0,AS352&gt;=#REF!),0,FV($O$1,AP353,-#REF!,0,1))</f>
        <v>#REF!</v>
      </c>
      <c r="AU353" s="5">
        <f t="shared" si="58"/>
        <v>0</v>
      </c>
    </row>
    <row r="354" spans="12:47" hidden="1" x14ac:dyDescent="0.25">
      <c r="L354" s="2" t="str">
        <f t="shared" si="67"/>
        <v/>
      </c>
      <c r="M354" s="45">
        <f t="shared" si="66"/>
        <v>27</v>
      </c>
      <c r="N354" s="36">
        <v>334</v>
      </c>
      <c r="O354" s="91">
        <f t="shared" si="60"/>
        <v>0</v>
      </c>
      <c r="P354" s="38">
        <f t="shared" si="61"/>
        <v>0</v>
      </c>
      <c r="W354" s="26">
        <f t="shared" si="62"/>
        <v>0</v>
      </c>
      <c r="X354" s="5">
        <f t="shared" si="63"/>
        <v>0</v>
      </c>
      <c r="Y354" s="5"/>
      <c r="AA354" s="63">
        <f t="shared" si="64"/>
        <v>0</v>
      </c>
      <c r="AB354" s="5">
        <f t="shared" si="65"/>
        <v>0</v>
      </c>
      <c r="AP354" s="3">
        <v>341</v>
      </c>
      <c r="AR354" s="14">
        <f t="shared" si="59"/>
        <v>0</v>
      </c>
      <c r="AS354" s="17" t="e">
        <f>IF(OR(AS353=0,AS353&gt;=#REF!),0,FV($O$1,AP354,-#REF!,0,1))</f>
        <v>#REF!</v>
      </c>
      <c r="AU354" s="5">
        <f t="shared" si="58"/>
        <v>0</v>
      </c>
    </row>
    <row r="355" spans="12:47" hidden="1" x14ac:dyDescent="0.25">
      <c r="L355" s="2" t="str">
        <f t="shared" si="67"/>
        <v/>
      </c>
      <c r="M355" s="45">
        <f t="shared" si="66"/>
        <v>27</v>
      </c>
      <c r="N355" s="36">
        <v>335</v>
      </c>
      <c r="O355" s="91">
        <f t="shared" si="60"/>
        <v>0</v>
      </c>
      <c r="P355" s="38">
        <f t="shared" si="61"/>
        <v>0</v>
      </c>
      <c r="W355" s="26">
        <f t="shared" si="62"/>
        <v>0</v>
      </c>
      <c r="X355" s="5">
        <f t="shared" si="63"/>
        <v>0</v>
      </c>
      <c r="Y355" s="5"/>
      <c r="AA355" s="63">
        <f t="shared" si="64"/>
        <v>0</v>
      </c>
      <c r="AB355" s="5">
        <f t="shared" si="65"/>
        <v>0</v>
      </c>
      <c r="AP355" s="3">
        <v>342</v>
      </c>
      <c r="AR355" s="14">
        <f t="shared" si="59"/>
        <v>0</v>
      </c>
      <c r="AS355" s="17" t="e">
        <f>IF(OR(AS354=0,AS354&gt;=#REF!),0,FV($O$1,AP355,-#REF!,0,1))</f>
        <v>#REF!</v>
      </c>
      <c r="AU355" s="5">
        <f t="shared" si="58"/>
        <v>0</v>
      </c>
    </row>
    <row r="356" spans="12:47" hidden="1" x14ac:dyDescent="0.25">
      <c r="L356" s="2" t="str">
        <f t="shared" si="67"/>
        <v/>
      </c>
      <c r="M356" s="45">
        <f t="shared" si="66"/>
        <v>27</v>
      </c>
      <c r="N356" s="36">
        <v>336</v>
      </c>
      <c r="O356" s="91">
        <f t="shared" si="60"/>
        <v>0</v>
      </c>
      <c r="P356" s="38">
        <f t="shared" si="61"/>
        <v>0</v>
      </c>
      <c r="W356" s="26">
        <f t="shared" si="62"/>
        <v>0</v>
      </c>
      <c r="X356" s="5">
        <f t="shared" si="63"/>
        <v>0</v>
      </c>
      <c r="Y356" s="5"/>
      <c r="AA356" s="63">
        <f t="shared" si="64"/>
        <v>0</v>
      </c>
      <c r="AB356" s="5">
        <f t="shared" si="65"/>
        <v>0</v>
      </c>
      <c r="AP356" s="3">
        <v>343</v>
      </c>
      <c r="AR356" s="14">
        <f t="shared" si="59"/>
        <v>0</v>
      </c>
      <c r="AS356" s="17" t="e">
        <f>IF(OR(AS355=0,AS355&gt;=#REF!),0,FV($O$1,AP356,-#REF!,0,1))</f>
        <v>#REF!</v>
      </c>
      <c r="AU356" s="5">
        <f t="shared" si="58"/>
        <v>0</v>
      </c>
    </row>
    <row r="357" spans="12:47" hidden="1" x14ac:dyDescent="0.25">
      <c r="L357" s="2" t="str">
        <f t="shared" si="67"/>
        <v/>
      </c>
      <c r="M357" s="45">
        <f t="shared" si="66"/>
        <v>28</v>
      </c>
      <c r="N357" s="36">
        <v>337</v>
      </c>
      <c r="O357" s="91">
        <f t="shared" si="60"/>
        <v>0</v>
      </c>
      <c r="P357" s="38">
        <f t="shared" si="61"/>
        <v>0</v>
      </c>
      <c r="W357" s="26">
        <f t="shared" si="62"/>
        <v>0</v>
      </c>
      <c r="X357" s="5">
        <f t="shared" si="63"/>
        <v>0</v>
      </c>
      <c r="Y357" s="5"/>
      <c r="AA357" s="63">
        <f t="shared" si="64"/>
        <v>0</v>
      </c>
      <c r="AB357" s="5">
        <f t="shared" si="65"/>
        <v>0</v>
      </c>
      <c r="AP357" s="3">
        <v>344</v>
      </c>
      <c r="AR357" s="14">
        <f t="shared" si="59"/>
        <v>0</v>
      </c>
      <c r="AS357" s="17" t="e">
        <f>IF(OR(AS356=0,AS356&gt;=#REF!),0,FV($O$1,AP357,-#REF!,0,1))</f>
        <v>#REF!</v>
      </c>
      <c r="AU357" s="5">
        <f t="shared" si="58"/>
        <v>0</v>
      </c>
    </row>
    <row r="358" spans="12:47" hidden="1" x14ac:dyDescent="0.25">
      <c r="L358" s="2" t="str">
        <f t="shared" si="67"/>
        <v/>
      </c>
      <c r="M358" s="45">
        <f t="shared" si="66"/>
        <v>28</v>
      </c>
      <c r="N358" s="36">
        <v>338</v>
      </c>
      <c r="O358" s="91">
        <f t="shared" si="60"/>
        <v>0</v>
      </c>
      <c r="P358" s="38">
        <f t="shared" si="61"/>
        <v>0</v>
      </c>
      <c r="W358" s="26">
        <f t="shared" si="62"/>
        <v>0</v>
      </c>
      <c r="X358" s="5">
        <f t="shared" si="63"/>
        <v>0</v>
      </c>
      <c r="Y358" s="5"/>
      <c r="AA358" s="63">
        <f t="shared" si="64"/>
        <v>0</v>
      </c>
      <c r="AB358" s="5">
        <f t="shared" si="65"/>
        <v>0</v>
      </c>
      <c r="AP358" s="3">
        <v>345</v>
      </c>
      <c r="AR358" s="14">
        <f t="shared" si="59"/>
        <v>0</v>
      </c>
      <c r="AS358" s="17" t="e">
        <f>IF(OR(AS357=0,AS357&gt;=#REF!),0,FV($O$1,AP358,-#REF!,0,1))</f>
        <v>#REF!</v>
      </c>
      <c r="AU358" s="5">
        <f t="shared" si="58"/>
        <v>0</v>
      </c>
    </row>
    <row r="359" spans="12:47" hidden="1" x14ac:dyDescent="0.25">
      <c r="L359" s="2" t="str">
        <f t="shared" si="67"/>
        <v/>
      </c>
      <c r="M359" s="45">
        <f t="shared" si="66"/>
        <v>28</v>
      </c>
      <c r="N359" s="36">
        <v>339</v>
      </c>
      <c r="O359" s="91">
        <f t="shared" si="60"/>
        <v>0</v>
      </c>
      <c r="P359" s="38">
        <f t="shared" si="61"/>
        <v>0</v>
      </c>
      <c r="W359" s="26">
        <f t="shared" si="62"/>
        <v>0</v>
      </c>
      <c r="X359" s="5">
        <f t="shared" si="63"/>
        <v>0</v>
      </c>
      <c r="Y359" s="5"/>
      <c r="AA359" s="63">
        <f t="shared" si="64"/>
        <v>0</v>
      </c>
      <c r="AB359" s="5">
        <f t="shared" si="65"/>
        <v>0</v>
      </c>
      <c r="AP359" s="3">
        <v>346</v>
      </c>
      <c r="AR359" s="14">
        <f t="shared" si="59"/>
        <v>0</v>
      </c>
      <c r="AS359" s="17" t="e">
        <f>IF(OR(AS358=0,AS358&gt;=#REF!),0,FV($O$1,AP359,-#REF!,0,1))</f>
        <v>#REF!</v>
      </c>
      <c r="AU359" s="5">
        <f t="shared" si="58"/>
        <v>0</v>
      </c>
    </row>
    <row r="360" spans="12:47" hidden="1" x14ac:dyDescent="0.25">
      <c r="L360" s="2" t="str">
        <f t="shared" si="67"/>
        <v/>
      </c>
      <c r="M360" s="45">
        <f t="shared" si="66"/>
        <v>28</v>
      </c>
      <c r="N360" s="36">
        <v>340</v>
      </c>
      <c r="O360" s="91">
        <f t="shared" si="60"/>
        <v>0</v>
      </c>
      <c r="P360" s="38">
        <f t="shared" si="61"/>
        <v>0</v>
      </c>
      <c r="W360" s="26">
        <f t="shared" si="62"/>
        <v>0</v>
      </c>
      <c r="X360" s="5">
        <f t="shared" si="63"/>
        <v>0</v>
      </c>
      <c r="Y360" s="5"/>
      <c r="AA360" s="63">
        <f t="shared" si="64"/>
        <v>0</v>
      </c>
      <c r="AB360" s="5">
        <f t="shared" si="65"/>
        <v>0</v>
      </c>
      <c r="AP360" s="3">
        <v>347</v>
      </c>
      <c r="AR360" s="14">
        <f t="shared" si="59"/>
        <v>0</v>
      </c>
      <c r="AS360" s="17" t="e">
        <f>IF(OR(AS359=0,AS359&gt;=#REF!),0,FV($O$1,AP360,-#REF!,0,1))</f>
        <v>#REF!</v>
      </c>
      <c r="AU360" s="5">
        <f t="shared" si="58"/>
        <v>0</v>
      </c>
    </row>
    <row r="361" spans="12:47" hidden="1" x14ac:dyDescent="0.25">
      <c r="L361" s="2" t="str">
        <f t="shared" si="67"/>
        <v/>
      </c>
      <c r="M361" s="45">
        <f t="shared" si="66"/>
        <v>28</v>
      </c>
      <c r="N361" s="36">
        <v>341</v>
      </c>
      <c r="O361" s="91">
        <f t="shared" si="60"/>
        <v>0</v>
      </c>
      <c r="P361" s="38">
        <f t="shared" si="61"/>
        <v>0</v>
      </c>
      <c r="W361" s="26">
        <f t="shared" si="62"/>
        <v>0</v>
      </c>
      <c r="X361" s="5">
        <f t="shared" si="63"/>
        <v>0</v>
      </c>
      <c r="Y361" s="5"/>
      <c r="AA361" s="63">
        <f t="shared" si="64"/>
        <v>0</v>
      </c>
      <c r="AB361" s="5">
        <f t="shared" si="65"/>
        <v>0</v>
      </c>
      <c r="AP361" s="3">
        <v>348</v>
      </c>
      <c r="AR361" s="14">
        <f t="shared" si="59"/>
        <v>0</v>
      </c>
      <c r="AS361" s="17" t="e">
        <f>IF(OR(AS360=0,AS360&gt;=#REF!),0,FV($O$1,AP361,-#REF!,0,1))</f>
        <v>#REF!</v>
      </c>
      <c r="AU361" s="5">
        <f t="shared" si="58"/>
        <v>0</v>
      </c>
    </row>
    <row r="362" spans="12:47" hidden="1" x14ac:dyDescent="0.25">
      <c r="L362" s="2" t="str">
        <f t="shared" si="67"/>
        <v/>
      </c>
      <c r="M362" s="45">
        <f t="shared" si="66"/>
        <v>28</v>
      </c>
      <c r="N362" s="36">
        <v>342</v>
      </c>
      <c r="O362" s="91">
        <f t="shared" si="60"/>
        <v>0</v>
      </c>
      <c r="P362" s="38">
        <f t="shared" si="61"/>
        <v>0</v>
      </c>
      <c r="W362" s="26">
        <f t="shared" si="62"/>
        <v>0</v>
      </c>
      <c r="X362" s="5">
        <f t="shared" si="63"/>
        <v>0</v>
      </c>
      <c r="Y362" s="5"/>
      <c r="AA362" s="63">
        <f t="shared" si="64"/>
        <v>0</v>
      </c>
      <c r="AB362" s="5">
        <f t="shared" si="65"/>
        <v>0</v>
      </c>
      <c r="AP362" s="3">
        <v>349</v>
      </c>
      <c r="AR362" s="14">
        <f t="shared" si="59"/>
        <v>0</v>
      </c>
      <c r="AS362" s="17" t="e">
        <f>IF(OR(AS361=0,AS361&gt;=#REF!),0,FV($O$1,AP362,-#REF!,0,1))</f>
        <v>#REF!</v>
      </c>
      <c r="AU362" s="5">
        <f t="shared" si="58"/>
        <v>0</v>
      </c>
    </row>
    <row r="363" spans="12:47" hidden="1" x14ac:dyDescent="0.25">
      <c r="L363" s="2" t="str">
        <f t="shared" si="67"/>
        <v/>
      </c>
      <c r="M363" s="45">
        <f t="shared" si="66"/>
        <v>28</v>
      </c>
      <c r="N363" s="36">
        <v>343</v>
      </c>
      <c r="O363" s="91">
        <f t="shared" si="60"/>
        <v>0</v>
      </c>
      <c r="P363" s="38">
        <f t="shared" si="61"/>
        <v>0</v>
      </c>
      <c r="W363" s="26">
        <f t="shared" si="62"/>
        <v>0</v>
      </c>
      <c r="X363" s="5">
        <f t="shared" si="63"/>
        <v>0</v>
      </c>
      <c r="Y363" s="5"/>
      <c r="AA363" s="63">
        <f t="shared" si="64"/>
        <v>0</v>
      </c>
      <c r="AB363" s="5">
        <f t="shared" si="65"/>
        <v>0</v>
      </c>
      <c r="AP363" s="3">
        <v>350</v>
      </c>
      <c r="AR363" s="14">
        <f t="shared" si="59"/>
        <v>0</v>
      </c>
      <c r="AS363" s="17" t="e">
        <f>IF(OR(AS362=0,AS362&gt;=#REF!),0,FV($O$1,AP363,-#REF!,0,1))</f>
        <v>#REF!</v>
      </c>
      <c r="AU363" s="5">
        <f t="shared" si="58"/>
        <v>0</v>
      </c>
    </row>
    <row r="364" spans="12:47" hidden="1" x14ac:dyDescent="0.25">
      <c r="L364" s="2" t="str">
        <f t="shared" si="67"/>
        <v/>
      </c>
      <c r="M364" s="45">
        <f t="shared" si="66"/>
        <v>28</v>
      </c>
      <c r="N364" s="36">
        <v>344</v>
      </c>
      <c r="O364" s="91">
        <f t="shared" si="60"/>
        <v>0</v>
      </c>
      <c r="P364" s="38">
        <f t="shared" si="61"/>
        <v>0</v>
      </c>
      <c r="W364" s="26">
        <f t="shared" si="62"/>
        <v>0</v>
      </c>
      <c r="X364" s="5">
        <f t="shared" si="63"/>
        <v>0</v>
      </c>
      <c r="Y364" s="5"/>
      <c r="AA364" s="63">
        <f t="shared" si="64"/>
        <v>0</v>
      </c>
      <c r="AB364" s="5">
        <f t="shared" si="65"/>
        <v>0</v>
      </c>
      <c r="AP364" s="3">
        <v>351</v>
      </c>
      <c r="AR364" s="14">
        <f t="shared" si="59"/>
        <v>0</v>
      </c>
      <c r="AS364" s="17" t="e">
        <f>IF(OR(AS363=0,AS363&gt;=#REF!),0,FV($O$1,AP364,-#REF!,0,1))</f>
        <v>#REF!</v>
      </c>
      <c r="AU364" s="5">
        <f t="shared" si="58"/>
        <v>0</v>
      </c>
    </row>
    <row r="365" spans="12:47" hidden="1" x14ac:dyDescent="0.25">
      <c r="L365" s="2" t="str">
        <f t="shared" si="67"/>
        <v/>
      </c>
      <c r="M365" s="45">
        <f t="shared" si="66"/>
        <v>28</v>
      </c>
      <c r="N365" s="36">
        <v>345</v>
      </c>
      <c r="O365" s="91">
        <f t="shared" si="60"/>
        <v>0</v>
      </c>
      <c r="P365" s="38">
        <f t="shared" si="61"/>
        <v>0</v>
      </c>
      <c r="W365" s="26">
        <f t="shared" si="62"/>
        <v>0</v>
      </c>
      <c r="X365" s="5">
        <f t="shared" si="63"/>
        <v>0</v>
      </c>
      <c r="Y365" s="5"/>
      <c r="AA365" s="63">
        <f t="shared" si="64"/>
        <v>0</v>
      </c>
      <c r="AB365" s="5">
        <f t="shared" si="65"/>
        <v>0</v>
      </c>
      <c r="AP365" s="3">
        <v>352</v>
      </c>
      <c r="AR365" s="14">
        <f t="shared" si="59"/>
        <v>0</v>
      </c>
      <c r="AS365" s="17" t="e">
        <f>IF(OR(AS364=0,AS364&gt;=#REF!),0,FV($O$1,AP365,-#REF!,0,1))</f>
        <v>#REF!</v>
      </c>
      <c r="AU365" s="5">
        <f t="shared" si="58"/>
        <v>0</v>
      </c>
    </row>
    <row r="366" spans="12:47" hidden="1" x14ac:dyDescent="0.25">
      <c r="L366" s="2" t="str">
        <f t="shared" si="67"/>
        <v/>
      </c>
      <c r="M366" s="45">
        <f t="shared" si="66"/>
        <v>28</v>
      </c>
      <c r="N366" s="36">
        <v>346</v>
      </c>
      <c r="O366" s="91">
        <f t="shared" si="60"/>
        <v>0</v>
      </c>
      <c r="P366" s="38">
        <f t="shared" si="61"/>
        <v>0</v>
      </c>
      <c r="W366" s="26">
        <f t="shared" si="62"/>
        <v>0</v>
      </c>
      <c r="X366" s="5">
        <f t="shared" si="63"/>
        <v>0</v>
      </c>
      <c r="Y366" s="5"/>
      <c r="AA366" s="63">
        <f t="shared" si="64"/>
        <v>0</v>
      </c>
      <c r="AB366" s="5">
        <f t="shared" si="65"/>
        <v>0</v>
      </c>
      <c r="AP366" s="3">
        <v>353</v>
      </c>
      <c r="AR366" s="14">
        <f t="shared" si="59"/>
        <v>0</v>
      </c>
      <c r="AS366" s="17" t="e">
        <f>IF(OR(AS365=0,AS365&gt;=#REF!),0,FV($O$1,AP366,-#REF!,0,1))</f>
        <v>#REF!</v>
      </c>
      <c r="AU366" s="5">
        <f t="shared" si="58"/>
        <v>0</v>
      </c>
    </row>
    <row r="367" spans="12:47" hidden="1" x14ac:dyDescent="0.25">
      <c r="L367" s="2" t="str">
        <f t="shared" si="67"/>
        <v/>
      </c>
      <c r="M367" s="45">
        <f t="shared" si="66"/>
        <v>28</v>
      </c>
      <c r="N367" s="36">
        <v>347</v>
      </c>
      <c r="O367" s="91">
        <f t="shared" si="60"/>
        <v>0</v>
      </c>
      <c r="P367" s="38">
        <f t="shared" si="61"/>
        <v>0</v>
      </c>
      <c r="W367" s="26">
        <f t="shared" si="62"/>
        <v>0</v>
      </c>
      <c r="X367" s="5">
        <f t="shared" si="63"/>
        <v>0</v>
      </c>
      <c r="Y367" s="5"/>
      <c r="AA367" s="63">
        <f t="shared" si="64"/>
        <v>0</v>
      </c>
      <c r="AB367" s="5">
        <f t="shared" si="65"/>
        <v>0</v>
      </c>
      <c r="AP367" s="3">
        <v>354</v>
      </c>
      <c r="AR367" s="14">
        <f t="shared" si="59"/>
        <v>0</v>
      </c>
      <c r="AS367" s="17" t="e">
        <f>IF(OR(AS366=0,AS366&gt;=#REF!),0,FV($O$1,AP367,-#REF!,0,1))</f>
        <v>#REF!</v>
      </c>
      <c r="AU367" s="5">
        <f t="shared" si="58"/>
        <v>0</v>
      </c>
    </row>
    <row r="368" spans="12:47" hidden="1" x14ac:dyDescent="0.25">
      <c r="L368" s="2" t="str">
        <f t="shared" si="67"/>
        <v/>
      </c>
      <c r="M368" s="45">
        <f t="shared" si="66"/>
        <v>28</v>
      </c>
      <c r="N368" s="36">
        <v>348</v>
      </c>
      <c r="O368" s="91">
        <f t="shared" si="60"/>
        <v>0</v>
      </c>
      <c r="P368" s="38">
        <f t="shared" si="61"/>
        <v>0</v>
      </c>
      <c r="W368" s="26">
        <f t="shared" si="62"/>
        <v>0</v>
      </c>
      <c r="X368" s="5">
        <f t="shared" si="63"/>
        <v>0</v>
      </c>
      <c r="Y368" s="5"/>
      <c r="AA368" s="63">
        <f t="shared" si="64"/>
        <v>0</v>
      </c>
      <c r="AB368" s="5">
        <f t="shared" si="65"/>
        <v>0</v>
      </c>
      <c r="AP368" s="3">
        <v>355</v>
      </c>
      <c r="AR368" s="14">
        <f t="shared" si="59"/>
        <v>0</v>
      </c>
      <c r="AS368" s="17" t="e">
        <f>IF(OR(AS367=0,AS367&gt;=#REF!),0,FV($O$1,AP368,-#REF!,0,1))</f>
        <v>#REF!</v>
      </c>
      <c r="AU368" s="5">
        <f t="shared" si="58"/>
        <v>0</v>
      </c>
    </row>
    <row r="369" spans="12:47" hidden="1" x14ac:dyDescent="0.25">
      <c r="L369" s="2" t="str">
        <f t="shared" si="67"/>
        <v/>
      </c>
      <c r="M369" s="45">
        <f t="shared" si="66"/>
        <v>29</v>
      </c>
      <c r="N369" s="36">
        <v>349</v>
      </c>
      <c r="O369" s="91">
        <f t="shared" si="60"/>
        <v>0</v>
      </c>
      <c r="P369" s="38">
        <f t="shared" si="61"/>
        <v>0</v>
      </c>
      <c r="W369" s="26">
        <f t="shared" si="62"/>
        <v>0</v>
      </c>
      <c r="X369" s="5">
        <f t="shared" si="63"/>
        <v>0</v>
      </c>
      <c r="Y369" s="5"/>
      <c r="AA369" s="63">
        <f t="shared" si="64"/>
        <v>0</v>
      </c>
      <c r="AB369" s="5">
        <f t="shared" si="65"/>
        <v>0</v>
      </c>
      <c r="AP369" s="3">
        <v>356</v>
      </c>
      <c r="AR369" s="14">
        <f t="shared" si="59"/>
        <v>0</v>
      </c>
      <c r="AS369" s="17" t="e">
        <f>IF(OR(AS368=0,AS368&gt;=#REF!),0,FV($O$1,AP369,-#REF!,0,1))</f>
        <v>#REF!</v>
      </c>
      <c r="AU369" s="5">
        <f t="shared" si="58"/>
        <v>0</v>
      </c>
    </row>
    <row r="370" spans="12:47" hidden="1" x14ac:dyDescent="0.25">
      <c r="L370" s="2" t="str">
        <f t="shared" si="67"/>
        <v/>
      </c>
      <c r="M370" s="45">
        <f t="shared" si="66"/>
        <v>29</v>
      </c>
      <c r="N370" s="36">
        <v>350</v>
      </c>
      <c r="O370" s="91">
        <f t="shared" si="60"/>
        <v>0</v>
      </c>
      <c r="P370" s="38">
        <f t="shared" si="61"/>
        <v>0</v>
      </c>
      <c r="W370" s="26">
        <f t="shared" si="62"/>
        <v>0</v>
      </c>
      <c r="X370" s="5">
        <f t="shared" si="63"/>
        <v>0</v>
      </c>
      <c r="Y370" s="5"/>
      <c r="AA370" s="63">
        <f t="shared" si="64"/>
        <v>0</v>
      </c>
      <c r="AB370" s="5">
        <f t="shared" si="65"/>
        <v>0</v>
      </c>
      <c r="AP370" s="3">
        <v>357</v>
      </c>
      <c r="AR370" s="14">
        <f t="shared" si="59"/>
        <v>0</v>
      </c>
      <c r="AS370" s="17" t="e">
        <f>IF(OR(AS369=0,AS369&gt;=#REF!),0,FV($O$1,AP370,-#REF!,0,1))</f>
        <v>#REF!</v>
      </c>
      <c r="AU370" s="5">
        <f t="shared" si="58"/>
        <v>0</v>
      </c>
    </row>
    <row r="371" spans="12:47" hidden="1" x14ac:dyDescent="0.25">
      <c r="L371" s="2" t="str">
        <f t="shared" si="67"/>
        <v/>
      </c>
      <c r="M371" s="45">
        <f t="shared" si="66"/>
        <v>29</v>
      </c>
      <c r="N371" s="36">
        <v>351</v>
      </c>
      <c r="O371" s="91">
        <f t="shared" si="60"/>
        <v>0</v>
      </c>
      <c r="P371" s="38">
        <f t="shared" si="61"/>
        <v>0</v>
      </c>
      <c r="W371" s="26">
        <f t="shared" si="62"/>
        <v>0</v>
      </c>
      <c r="X371" s="5">
        <f t="shared" si="63"/>
        <v>0</v>
      </c>
      <c r="Y371" s="5"/>
      <c r="AA371" s="63">
        <f t="shared" si="64"/>
        <v>0</v>
      </c>
      <c r="AB371" s="5">
        <f t="shared" si="65"/>
        <v>0</v>
      </c>
      <c r="AP371" s="3">
        <v>358</v>
      </c>
      <c r="AR371" s="14">
        <f t="shared" si="59"/>
        <v>0</v>
      </c>
      <c r="AS371" s="17" t="e">
        <f>IF(OR(AS370=0,AS370&gt;=#REF!),0,FV($O$1,AP371,-#REF!,0,1))</f>
        <v>#REF!</v>
      </c>
      <c r="AU371" s="5">
        <f t="shared" si="58"/>
        <v>0</v>
      </c>
    </row>
    <row r="372" spans="12:47" hidden="1" x14ac:dyDescent="0.25">
      <c r="L372" s="2" t="str">
        <f t="shared" si="67"/>
        <v/>
      </c>
      <c r="M372" s="45">
        <f t="shared" si="66"/>
        <v>29</v>
      </c>
      <c r="N372" s="36">
        <v>352</v>
      </c>
      <c r="O372" s="91">
        <f t="shared" si="60"/>
        <v>0</v>
      </c>
      <c r="P372" s="38">
        <f t="shared" si="61"/>
        <v>0</v>
      </c>
      <c r="W372" s="26">
        <f t="shared" si="62"/>
        <v>0</v>
      </c>
      <c r="X372" s="5">
        <f t="shared" si="63"/>
        <v>0</v>
      </c>
      <c r="Y372" s="5"/>
      <c r="AA372" s="63">
        <f t="shared" si="64"/>
        <v>0</v>
      </c>
      <c r="AB372" s="5">
        <f t="shared" si="65"/>
        <v>0</v>
      </c>
      <c r="AP372" s="3">
        <v>359</v>
      </c>
      <c r="AR372" s="14">
        <f t="shared" si="59"/>
        <v>0</v>
      </c>
      <c r="AS372" s="17" t="e">
        <f>IF(OR(AS371=0,AS371&gt;=#REF!),0,FV($O$1,AP372,-#REF!,0,1))</f>
        <v>#REF!</v>
      </c>
      <c r="AU372" s="5">
        <f t="shared" si="58"/>
        <v>0</v>
      </c>
    </row>
    <row r="373" spans="12:47" hidden="1" x14ac:dyDescent="0.25">
      <c r="L373" s="2" t="str">
        <f t="shared" si="67"/>
        <v/>
      </c>
      <c r="M373" s="45">
        <f t="shared" si="66"/>
        <v>29</v>
      </c>
      <c r="N373" s="36">
        <v>353</v>
      </c>
      <c r="O373" s="91">
        <f t="shared" si="60"/>
        <v>0</v>
      </c>
      <c r="P373" s="38">
        <f t="shared" si="61"/>
        <v>0</v>
      </c>
      <c r="W373" s="26">
        <f t="shared" si="62"/>
        <v>0</v>
      </c>
      <c r="X373" s="5">
        <f t="shared" si="63"/>
        <v>0</v>
      </c>
      <c r="Y373" s="5"/>
      <c r="AA373" s="63">
        <f t="shared" si="64"/>
        <v>0</v>
      </c>
      <c r="AB373" s="5">
        <f t="shared" si="65"/>
        <v>0</v>
      </c>
      <c r="AP373" s="3">
        <v>360</v>
      </c>
      <c r="AR373" s="14">
        <f t="shared" si="59"/>
        <v>0</v>
      </c>
      <c r="AS373" s="17" t="e">
        <f>IF(OR(AS372=0,AS372&gt;=#REF!),0,FV($O$1,AP373,-#REF!,0,1))</f>
        <v>#REF!</v>
      </c>
      <c r="AU373" s="5">
        <f t="shared" si="58"/>
        <v>0</v>
      </c>
    </row>
    <row r="374" spans="12:47" hidden="1" x14ac:dyDescent="0.25">
      <c r="L374" s="2" t="str">
        <f t="shared" si="67"/>
        <v/>
      </c>
      <c r="M374" s="45">
        <f t="shared" si="66"/>
        <v>29</v>
      </c>
      <c r="N374" s="36">
        <v>354</v>
      </c>
      <c r="O374" s="91">
        <f t="shared" si="60"/>
        <v>0</v>
      </c>
      <c r="P374" s="38">
        <f t="shared" si="61"/>
        <v>0</v>
      </c>
      <c r="W374" s="26">
        <f t="shared" si="62"/>
        <v>0</v>
      </c>
      <c r="X374" s="5">
        <f t="shared" si="63"/>
        <v>0</v>
      </c>
      <c r="Y374" s="5"/>
      <c r="AA374" s="63">
        <f t="shared" si="64"/>
        <v>0</v>
      </c>
      <c r="AB374" s="5">
        <f t="shared" si="65"/>
        <v>0</v>
      </c>
      <c r="AP374" s="3">
        <v>361</v>
      </c>
      <c r="AR374" s="14">
        <f t="shared" si="59"/>
        <v>0</v>
      </c>
      <c r="AS374" s="17" t="e">
        <f>IF(OR(AS373=0,AS373&gt;=#REF!),0,FV($O$1,AP374,-#REF!,0,1))</f>
        <v>#REF!</v>
      </c>
      <c r="AU374" s="5">
        <f t="shared" si="58"/>
        <v>0</v>
      </c>
    </row>
    <row r="375" spans="12:47" hidden="1" x14ac:dyDescent="0.25">
      <c r="L375" s="2" t="str">
        <f t="shared" si="67"/>
        <v/>
      </c>
      <c r="M375" s="45">
        <f t="shared" si="66"/>
        <v>29</v>
      </c>
      <c r="N375" s="36">
        <v>355</v>
      </c>
      <c r="O375" s="91">
        <f t="shared" si="60"/>
        <v>0</v>
      </c>
      <c r="P375" s="38">
        <f t="shared" si="61"/>
        <v>0</v>
      </c>
      <c r="W375" s="26">
        <f t="shared" si="62"/>
        <v>0</v>
      </c>
      <c r="X375" s="5">
        <f t="shared" si="63"/>
        <v>0</v>
      </c>
      <c r="Y375" s="5"/>
      <c r="AA375" s="63">
        <f t="shared" si="64"/>
        <v>0</v>
      </c>
      <c r="AB375" s="5">
        <f t="shared" si="65"/>
        <v>0</v>
      </c>
      <c r="AP375" s="3">
        <v>362</v>
      </c>
      <c r="AR375" s="14">
        <f t="shared" si="59"/>
        <v>0</v>
      </c>
      <c r="AS375" s="17" t="e">
        <f>IF(OR(AS374=0,AS374&gt;=#REF!),0,FV($O$1,AP375,-#REF!,0,1))</f>
        <v>#REF!</v>
      </c>
      <c r="AU375" s="5">
        <f t="shared" si="58"/>
        <v>0</v>
      </c>
    </row>
    <row r="376" spans="12:47" hidden="1" x14ac:dyDescent="0.25">
      <c r="L376" s="2" t="str">
        <f t="shared" si="67"/>
        <v/>
      </c>
      <c r="M376" s="45">
        <f t="shared" si="66"/>
        <v>29</v>
      </c>
      <c r="N376" s="36">
        <v>356</v>
      </c>
      <c r="O376" s="91">
        <f t="shared" si="60"/>
        <v>0</v>
      </c>
      <c r="P376" s="38">
        <f t="shared" si="61"/>
        <v>0</v>
      </c>
      <c r="W376" s="26">
        <f t="shared" si="62"/>
        <v>0</v>
      </c>
      <c r="X376" s="5">
        <f t="shared" si="63"/>
        <v>0</v>
      </c>
      <c r="Y376" s="5"/>
      <c r="AA376" s="63">
        <f t="shared" si="64"/>
        <v>0</v>
      </c>
      <c r="AB376" s="5">
        <f t="shared" si="65"/>
        <v>0</v>
      </c>
      <c r="AP376" s="3">
        <v>363</v>
      </c>
      <c r="AR376" s="14">
        <f t="shared" si="59"/>
        <v>0</v>
      </c>
      <c r="AS376" s="17" t="e">
        <f>IF(OR(AS375=0,AS375&gt;=#REF!),0,FV($O$1,AP376,-#REF!,0,1))</f>
        <v>#REF!</v>
      </c>
      <c r="AU376" s="5">
        <f t="shared" si="58"/>
        <v>0</v>
      </c>
    </row>
    <row r="377" spans="12:47" hidden="1" x14ac:dyDescent="0.25">
      <c r="L377" s="2" t="str">
        <f t="shared" si="67"/>
        <v/>
      </c>
      <c r="M377" s="45">
        <f t="shared" si="66"/>
        <v>29</v>
      </c>
      <c r="N377" s="36">
        <v>357</v>
      </c>
      <c r="O377" s="91">
        <f t="shared" si="60"/>
        <v>0</v>
      </c>
      <c r="P377" s="38">
        <f t="shared" si="61"/>
        <v>0</v>
      </c>
      <c r="W377" s="26">
        <f t="shared" si="62"/>
        <v>0</v>
      </c>
      <c r="X377" s="5">
        <f t="shared" si="63"/>
        <v>0</v>
      </c>
      <c r="Y377" s="5"/>
      <c r="AA377" s="63">
        <f t="shared" si="64"/>
        <v>0</v>
      </c>
      <c r="AB377" s="5">
        <f t="shared" si="65"/>
        <v>0</v>
      </c>
      <c r="AP377" s="3">
        <v>364</v>
      </c>
      <c r="AR377" s="14">
        <f t="shared" si="59"/>
        <v>0</v>
      </c>
      <c r="AS377" s="17" t="e">
        <f>IF(OR(AS376=0,AS376&gt;=#REF!),0,FV($O$1,AP377,-#REF!,0,1))</f>
        <v>#REF!</v>
      </c>
      <c r="AU377" s="5">
        <f t="shared" si="58"/>
        <v>0</v>
      </c>
    </row>
    <row r="378" spans="12:47" hidden="1" x14ac:dyDescent="0.25">
      <c r="L378" s="2" t="str">
        <f t="shared" si="67"/>
        <v/>
      </c>
      <c r="M378" s="45">
        <f t="shared" si="66"/>
        <v>29</v>
      </c>
      <c r="N378" s="36">
        <v>358</v>
      </c>
      <c r="O378" s="91">
        <f t="shared" si="60"/>
        <v>0</v>
      </c>
      <c r="P378" s="38">
        <f t="shared" si="61"/>
        <v>0</v>
      </c>
      <c r="W378" s="26">
        <f t="shared" si="62"/>
        <v>0</v>
      </c>
      <c r="X378" s="5">
        <f t="shared" si="63"/>
        <v>0</v>
      </c>
      <c r="Y378" s="5"/>
      <c r="AA378" s="63">
        <f t="shared" si="64"/>
        <v>0</v>
      </c>
      <c r="AB378" s="5">
        <f t="shared" si="65"/>
        <v>0</v>
      </c>
      <c r="AP378" s="3">
        <v>365</v>
      </c>
      <c r="AR378" s="14">
        <f t="shared" si="59"/>
        <v>0</v>
      </c>
      <c r="AS378" s="17" t="e">
        <f>IF(OR(AS377=0,AS377&gt;=#REF!),0,FV($O$1,AP378,-#REF!,0,1))</f>
        <v>#REF!</v>
      </c>
      <c r="AU378" s="5">
        <f t="shared" si="58"/>
        <v>0</v>
      </c>
    </row>
    <row r="379" spans="12:47" hidden="1" x14ac:dyDescent="0.25">
      <c r="L379" s="2" t="str">
        <f t="shared" si="67"/>
        <v/>
      </c>
      <c r="M379" s="45">
        <f t="shared" si="66"/>
        <v>29</v>
      </c>
      <c r="N379" s="36">
        <v>359</v>
      </c>
      <c r="O379" s="91">
        <f t="shared" si="60"/>
        <v>0</v>
      </c>
      <c r="P379" s="38">
        <f t="shared" si="61"/>
        <v>0</v>
      </c>
      <c r="W379" s="26">
        <f t="shared" si="62"/>
        <v>0</v>
      </c>
      <c r="X379" s="5">
        <f t="shared" si="63"/>
        <v>0</v>
      </c>
      <c r="Y379" s="5"/>
      <c r="AA379" s="63">
        <f t="shared" si="64"/>
        <v>0</v>
      </c>
      <c r="AB379" s="5">
        <f t="shared" si="65"/>
        <v>0</v>
      </c>
      <c r="AP379" s="3">
        <v>366</v>
      </c>
      <c r="AR379" s="14">
        <f t="shared" si="59"/>
        <v>0</v>
      </c>
      <c r="AS379" s="17" t="e">
        <f>IF(OR(AS378=0,AS378&gt;=#REF!),0,FV($O$1,AP379,-#REF!,0,1))</f>
        <v>#REF!</v>
      </c>
      <c r="AU379" s="5">
        <f t="shared" si="58"/>
        <v>0</v>
      </c>
    </row>
    <row r="380" spans="12:47" hidden="1" x14ac:dyDescent="0.25">
      <c r="L380" s="2" t="str">
        <f t="shared" si="67"/>
        <v/>
      </c>
      <c r="M380" s="45">
        <f t="shared" si="66"/>
        <v>29</v>
      </c>
      <c r="N380" s="36">
        <v>360</v>
      </c>
      <c r="O380" s="91">
        <f t="shared" si="60"/>
        <v>0</v>
      </c>
      <c r="P380" s="38">
        <f t="shared" si="61"/>
        <v>0</v>
      </c>
      <c r="W380" s="26">
        <f t="shared" si="62"/>
        <v>0</v>
      </c>
      <c r="X380" s="5">
        <f t="shared" si="63"/>
        <v>0</v>
      </c>
      <c r="Y380" s="5"/>
      <c r="AA380" s="63">
        <f t="shared" si="64"/>
        <v>0</v>
      </c>
      <c r="AB380" s="5">
        <f t="shared" si="65"/>
        <v>0</v>
      </c>
      <c r="AP380" s="3">
        <v>367</v>
      </c>
      <c r="AR380" s="14">
        <f t="shared" si="59"/>
        <v>0</v>
      </c>
      <c r="AS380" s="17" t="e">
        <f>IF(OR(AS379=0,AS379&gt;=#REF!),0,FV($O$1,AP380,-#REF!,0,1))</f>
        <v>#REF!</v>
      </c>
      <c r="AU380" s="5">
        <f t="shared" si="58"/>
        <v>0</v>
      </c>
    </row>
    <row r="381" spans="12:47" hidden="1" x14ac:dyDescent="0.25">
      <c r="L381" s="2" t="str">
        <f t="shared" si="67"/>
        <v/>
      </c>
      <c r="M381" s="45">
        <f t="shared" si="66"/>
        <v>30</v>
      </c>
      <c r="N381" s="36">
        <v>361</v>
      </c>
      <c r="O381" s="91">
        <f t="shared" si="60"/>
        <v>0</v>
      </c>
      <c r="P381" s="38">
        <f t="shared" si="61"/>
        <v>0</v>
      </c>
      <c r="W381" s="26">
        <f t="shared" si="62"/>
        <v>0</v>
      </c>
      <c r="X381" s="5">
        <f t="shared" si="63"/>
        <v>0</v>
      </c>
      <c r="Y381" s="5"/>
      <c r="AA381" s="63">
        <f t="shared" si="64"/>
        <v>0</v>
      </c>
      <c r="AB381" s="5">
        <f t="shared" si="65"/>
        <v>0</v>
      </c>
      <c r="AP381" s="3">
        <v>368</v>
      </c>
      <c r="AR381" s="14">
        <f t="shared" si="59"/>
        <v>0</v>
      </c>
      <c r="AS381" s="17" t="e">
        <f>IF(OR(AS380=0,AS380&gt;=#REF!),0,FV($O$1,AP381,-#REF!,0,1))</f>
        <v>#REF!</v>
      </c>
      <c r="AU381" s="5">
        <f t="shared" si="58"/>
        <v>0</v>
      </c>
    </row>
    <row r="382" spans="12:47" hidden="1" x14ac:dyDescent="0.25">
      <c r="L382" s="2" t="str">
        <f t="shared" si="67"/>
        <v/>
      </c>
      <c r="M382" s="45">
        <f t="shared" si="66"/>
        <v>30</v>
      </c>
      <c r="N382" s="36">
        <v>362</v>
      </c>
      <c r="O382" s="91">
        <f t="shared" si="60"/>
        <v>0</v>
      </c>
      <c r="P382" s="38">
        <f t="shared" si="61"/>
        <v>0</v>
      </c>
      <c r="W382" s="26">
        <f t="shared" si="62"/>
        <v>0</v>
      </c>
      <c r="X382" s="5">
        <f t="shared" si="63"/>
        <v>0</v>
      </c>
      <c r="Y382" s="5"/>
      <c r="AA382" s="63">
        <f t="shared" si="64"/>
        <v>0</v>
      </c>
      <c r="AB382" s="5">
        <f t="shared" si="65"/>
        <v>0</v>
      </c>
      <c r="AP382" s="3">
        <v>369</v>
      </c>
      <c r="AR382" s="14">
        <f t="shared" si="59"/>
        <v>0</v>
      </c>
      <c r="AS382" s="17" t="e">
        <f>IF(OR(AS381=0,AS381&gt;=#REF!),0,FV($O$1,AP382,-#REF!,0,1))</f>
        <v>#REF!</v>
      </c>
      <c r="AU382" s="5">
        <f t="shared" si="58"/>
        <v>0</v>
      </c>
    </row>
    <row r="383" spans="12:47" hidden="1" x14ac:dyDescent="0.25">
      <c r="L383" s="2" t="str">
        <f t="shared" si="67"/>
        <v/>
      </c>
      <c r="M383" s="45">
        <f t="shared" si="66"/>
        <v>30</v>
      </c>
      <c r="N383" s="36">
        <v>363</v>
      </c>
      <c r="O383" s="91">
        <f t="shared" si="60"/>
        <v>0</v>
      </c>
      <c r="P383" s="38">
        <f t="shared" si="61"/>
        <v>0</v>
      </c>
      <c r="W383" s="26">
        <f t="shared" si="62"/>
        <v>0</v>
      </c>
      <c r="X383" s="5">
        <f t="shared" si="63"/>
        <v>0</v>
      </c>
      <c r="Y383" s="5"/>
      <c r="AA383" s="63">
        <f t="shared" si="64"/>
        <v>0</v>
      </c>
      <c r="AB383" s="5">
        <f t="shared" si="65"/>
        <v>0</v>
      </c>
      <c r="AP383" s="3">
        <v>370</v>
      </c>
      <c r="AR383" s="14">
        <f t="shared" si="59"/>
        <v>0</v>
      </c>
      <c r="AS383" s="17" t="e">
        <f>IF(OR(AS382=0,AS382&gt;=#REF!),0,FV($O$1,AP383,-#REF!,0,1))</f>
        <v>#REF!</v>
      </c>
      <c r="AU383" s="5">
        <f t="shared" si="58"/>
        <v>0</v>
      </c>
    </row>
    <row r="384" spans="12:47" hidden="1" x14ac:dyDescent="0.25">
      <c r="L384" s="2" t="str">
        <f t="shared" si="67"/>
        <v/>
      </c>
      <c r="M384" s="45">
        <f t="shared" si="66"/>
        <v>30</v>
      </c>
      <c r="N384" s="36">
        <v>364</v>
      </c>
      <c r="O384" s="91">
        <f t="shared" si="60"/>
        <v>0</v>
      </c>
      <c r="P384" s="38">
        <f t="shared" si="61"/>
        <v>0</v>
      </c>
      <c r="W384" s="26">
        <f t="shared" si="62"/>
        <v>0</v>
      </c>
      <c r="X384" s="5">
        <f t="shared" si="63"/>
        <v>0</v>
      </c>
      <c r="Y384" s="5"/>
      <c r="AA384" s="63">
        <f t="shared" si="64"/>
        <v>0</v>
      </c>
      <c r="AB384" s="5">
        <f t="shared" si="65"/>
        <v>0</v>
      </c>
      <c r="AP384" s="3">
        <v>371</v>
      </c>
      <c r="AR384" s="14">
        <f t="shared" si="59"/>
        <v>0</v>
      </c>
      <c r="AS384" s="17" t="e">
        <f>IF(OR(AS383=0,AS383&gt;=#REF!),0,FV($O$1,AP384,-#REF!,0,1))</f>
        <v>#REF!</v>
      </c>
      <c r="AU384" s="5">
        <f t="shared" si="58"/>
        <v>0</v>
      </c>
    </row>
    <row r="385" spans="12:47" hidden="1" x14ac:dyDescent="0.25">
      <c r="L385" s="2" t="str">
        <f t="shared" si="67"/>
        <v/>
      </c>
      <c r="M385" s="45">
        <f t="shared" si="66"/>
        <v>30</v>
      </c>
      <c r="N385" s="36">
        <v>365</v>
      </c>
      <c r="O385" s="91">
        <f t="shared" si="60"/>
        <v>0</v>
      </c>
      <c r="P385" s="38">
        <f t="shared" si="61"/>
        <v>0</v>
      </c>
      <c r="W385" s="26">
        <f t="shared" si="62"/>
        <v>0</v>
      </c>
      <c r="X385" s="5">
        <f t="shared" si="63"/>
        <v>0</v>
      </c>
      <c r="Y385" s="5"/>
      <c r="AA385" s="63">
        <f t="shared" si="64"/>
        <v>0</v>
      </c>
      <c r="AB385" s="5">
        <f t="shared" si="65"/>
        <v>0</v>
      </c>
      <c r="AP385" s="3">
        <v>372</v>
      </c>
      <c r="AR385" s="14">
        <f t="shared" si="59"/>
        <v>0</v>
      </c>
      <c r="AS385" s="17" t="e">
        <f>IF(OR(AS384=0,AS384&gt;=#REF!),0,FV($O$1,AP385,-#REF!,0,1))</f>
        <v>#REF!</v>
      </c>
      <c r="AU385" s="5">
        <f t="shared" si="58"/>
        <v>0</v>
      </c>
    </row>
    <row r="386" spans="12:47" hidden="1" x14ac:dyDescent="0.25">
      <c r="L386" s="2" t="str">
        <f t="shared" si="67"/>
        <v/>
      </c>
      <c r="M386" s="45">
        <f t="shared" si="66"/>
        <v>30</v>
      </c>
      <c r="N386" s="36">
        <v>366</v>
      </c>
      <c r="O386" s="91">
        <f t="shared" si="60"/>
        <v>0</v>
      </c>
      <c r="P386" s="38">
        <f t="shared" si="61"/>
        <v>0</v>
      </c>
      <c r="W386" s="26">
        <f t="shared" si="62"/>
        <v>0</v>
      </c>
      <c r="X386" s="5">
        <f t="shared" si="63"/>
        <v>0</v>
      </c>
      <c r="Y386" s="5"/>
      <c r="AA386" s="63">
        <f t="shared" si="64"/>
        <v>0</v>
      </c>
      <c r="AB386" s="5">
        <f t="shared" si="65"/>
        <v>0</v>
      </c>
      <c r="AP386" s="3">
        <v>373</v>
      </c>
      <c r="AR386" s="14">
        <f t="shared" si="59"/>
        <v>0</v>
      </c>
      <c r="AS386" s="17" t="e">
        <f>IF(OR(AS385=0,AS385&gt;=#REF!),0,FV($O$1,AP386,-#REF!,0,1))</f>
        <v>#REF!</v>
      </c>
      <c r="AU386" s="5">
        <f t="shared" si="58"/>
        <v>0</v>
      </c>
    </row>
    <row r="387" spans="12:47" hidden="1" x14ac:dyDescent="0.25">
      <c r="L387" s="2" t="str">
        <f t="shared" si="67"/>
        <v/>
      </c>
      <c r="M387" s="45">
        <f t="shared" si="66"/>
        <v>30</v>
      </c>
      <c r="N387" s="36">
        <v>367</v>
      </c>
      <c r="O387" s="91">
        <f t="shared" si="60"/>
        <v>0</v>
      </c>
      <c r="P387" s="38">
        <f t="shared" si="61"/>
        <v>0</v>
      </c>
      <c r="W387" s="26">
        <f t="shared" si="62"/>
        <v>0</v>
      </c>
      <c r="X387" s="5">
        <f t="shared" si="63"/>
        <v>0</v>
      </c>
      <c r="Y387" s="5"/>
      <c r="AA387" s="63">
        <f t="shared" si="64"/>
        <v>0</v>
      </c>
      <c r="AB387" s="5">
        <f t="shared" si="65"/>
        <v>0</v>
      </c>
      <c r="AP387" s="3">
        <v>374</v>
      </c>
      <c r="AR387" s="14">
        <f t="shared" si="59"/>
        <v>0</v>
      </c>
      <c r="AS387" s="17" t="e">
        <f>IF(OR(AS386=0,AS386&gt;=#REF!),0,FV($O$1,AP387,-#REF!,0,1))</f>
        <v>#REF!</v>
      </c>
      <c r="AU387" s="5">
        <f t="shared" si="58"/>
        <v>0</v>
      </c>
    </row>
    <row r="388" spans="12:47" hidden="1" x14ac:dyDescent="0.25">
      <c r="L388" s="2" t="str">
        <f t="shared" si="67"/>
        <v/>
      </c>
      <c r="M388" s="45">
        <f t="shared" si="66"/>
        <v>30</v>
      </c>
      <c r="N388" s="36">
        <v>368</v>
      </c>
      <c r="O388" s="91">
        <f t="shared" si="60"/>
        <v>0</v>
      </c>
      <c r="P388" s="38">
        <f t="shared" si="61"/>
        <v>0</v>
      </c>
      <c r="W388" s="26">
        <f t="shared" si="62"/>
        <v>0</v>
      </c>
      <c r="X388" s="5">
        <f t="shared" si="63"/>
        <v>0</v>
      </c>
      <c r="Y388" s="5"/>
      <c r="AA388" s="63">
        <f t="shared" si="64"/>
        <v>0</v>
      </c>
      <c r="AB388" s="5">
        <f t="shared" si="65"/>
        <v>0</v>
      </c>
      <c r="AP388" s="3">
        <v>375</v>
      </c>
      <c r="AR388" s="14">
        <f t="shared" si="59"/>
        <v>0</v>
      </c>
      <c r="AS388" s="17" t="e">
        <f>IF(OR(AS387=0,AS387&gt;=#REF!),0,FV($O$1,AP388,-#REF!,0,1))</f>
        <v>#REF!</v>
      </c>
      <c r="AU388" s="5">
        <f t="shared" si="58"/>
        <v>0</v>
      </c>
    </row>
    <row r="389" spans="12:47" hidden="1" x14ac:dyDescent="0.25">
      <c r="L389" s="2" t="str">
        <f t="shared" si="67"/>
        <v/>
      </c>
      <c r="M389" s="45">
        <f t="shared" si="66"/>
        <v>30</v>
      </c>
      <c r="N389" s="36">
        <v>369</v>
      </c>
      <c r="O389" s="91">
        <f t="shared" si="60"/>
        <v>0</v>
      </c>
      <c r="P389" s="38">
        <f t="shared" si="61"/>
        <v>0</v>
      </c>
      <c r="W389" s="26">
        <f t="shared" si="62"/>
        <v>0</v>
      </c>
      <c r="X389" s="5">
        <f t="shared" si="63"/>
        <v>0</v>
      </c>
      <c r="Y389" s="5"/>
      <c r="AA389" s="63">
        <f t="shared" si="64"/>
        <v>0</v>
      </c>
      <c r="AB389" s="5">
        <f t="shared" si="65"/>
        <v>0</v>
      </c>
      <c r="AP389" s="3">
        <v>376</v>
      </c>
      <c r="AR389" s="14">
        <f t="shared" si="59"/>
        <v>0</v>
      </c>
      <c r="AS389" s="17" t="e">
        <f>IF(OR(AS388=0,AS388&gt;=#REF!),0,FV($O$1,AP389,-#REF!,0,1))</f>
        <v>#REF!</v>
      </c>
      <c r="AU389" s="5">
        <f t="shared" si="58"/>
        <v>0</v>
      </c>
    </row>
    <row r="390" spans="12:47" hidden="1" x14ac:dyDescent="0.25">
      <c r="L390" s="2" t="str">
        <f t="shared" si="67"/>
        <v/>
      </c>
      <c r="M390" s="45">
        <f t="shared" si="66"/>
        <v>30</v>
      </c>
      <c r="N390" s="36">
        <v>370</v>
      </c>
      <c r="O390" s="91">
        <f t="shared" si="60"/>
        <v>0</v>
      </c>
      <c r="P390" s="38">
        <f t="shared" si="61"/>
        <v>0</v>
      </c>
      <c r="W390" s="26">
        <f t="shared" si="62"/>
        <v>0</v>
      </c>
      <c r="X390" s="5">
        <f t="shared" si="63"/>
        <v>0</v>
      </c>
      <c r="Y390" s="5"/>
      <c r="AA390" s="63">
        <f t="shared" si="64"/>
        <v>0</v>
      </c>
      <c r="AB390" s="5">
        <f t="shared" si="65"/>
        <v>0</v>
      </c>
      <c r="AP390" s="3">
        <v>377</v>
      </c>
      <c r="AR390" s="14">
        <f t="shared" si="59"/>
        <v>0</v>
      </c>
      <c r="AS390" s="17" t="e">
        <f>IF(OR(AS389=0,AS389&gt;=#REF!),0,FV($O$1,AP390,-#REF!,0,1))</f>
        <v>#REF!</v>
      </c>
      <c r="AU390" s="5">
        <f t="shared" si="58"/>
        <v>0</v>
      </c>
    </row>
    <row r="391" spans="12:47" hidden="1" x14ac:dyDescent="0.25">
      <c r="L391" s="2" t="str">
        <f t="shared" si="67"/>
        <v/>
      </c>
      <c r="M391" s="45">
        <f t="shared" si="66"/>
        <v>30</v>
      </c>
      <c r="N391" s="36">
        <v>371</v>
      </c>
      <c r="O391" s="91">
        <f t="shared" si="60"/>
        <v>0</v>
      </c>
      <c r="P391" s="38">
        <f t="shared" si="61"/>
        <v>0</v>
      </c>
      <c r="W391" s="26">
        <f t="shared" si="62"/>
        <v>0</v>
      </c>
      <c r="X391" s="5">
        <f t="shared" si="63"/>
        <v>0</v>
      </c>
      <c r="Y391" s="5"/>
      <c r="AA391" s="63">
        <f t="shared" si="64"/>
        <v>0</v>
      </c>
      <c r="AB391" s="5">
        <f t="shared" si="65"/>
        <v>0</v>
      </c>
      <c r="AP391" s="3">
        <v>378</v>
      </c>
      <c r="AR391" s="14">
        <f t="shared" si="59"/>
        <v>0</v>
      </c>
      <c r="AS391" s="17" t="e">
        <f>IF(OR(AS390=0,AS390&gt;=#REF!),0,FV($O$1,AP391,-#REF!,0,1))</f>
        <v>#REF!</v>
      </c>
      <c r="AU391" s="5">
        <f t="shared" si="58"/>
        <v>0</v>
      </c>
    </row>
    <row r="392" spans="12:47" hidden="1" x14ac:dyDescent="0.25">
      <c r="L392" s="2" t="str">
        <f t="shared" si="67"/>
        <v/>
      </c>
      <c r="M392" s="45">
        <f t="shared" si="66"/>
        <v>30</v>
      </c>
      <c r="N392" s="36">
        <v>372</v>
      </c>
      <c r="O392" s="91">
        <f t="shared" si="60"/>
        <v>0</v>
      </c>
      <c r="P392" s="38">
        <f t="shared" si="61"/>
        <v>0</v>
      </c>
      <c r="W392" s="26">
        <f t="shared" si="62"/>
        <v>0</v>
      </c>
      <c r="X392" s="5">
        <f t="shared" si="63"/>
        <v>0</v>
      </c>
      <c r="Y392" s="5"/>
      <c r="AA392" s="63">
        <f t="shared" si="64"/>
        <v>0</v>
      </c>
      <c r="AB392" s="5">
        <f t="shared" si="65"/>
        <v>0</v>
      </c>
      <c r="AP392" s="3">
        <v>379</v>
      </c>
      <c r="AR392" s="14">
        <f t="shared" si="59"/>
        <v>0</v>
      </c>
      <c r="AS392" s="17" t="e">
        <f>IF(OR(AS391=0,AS391&gt;=#REF!),0,FV($O$1,AP392,-#REF!,0,1))</f>
        <v>#REF!</v>
      </c>
      <c r="AU392" s="5">
        <f t="shared" si="58"/>
        <v>0</v>
      </c>
    </row>
    <row r="393" spans="12:47" hidden="1" x14ac:dyDescent="0.25">
      <c r="L393" s="2" t="str">
        <f t="shared" si="67"/>
        <v/>
      </c>
      <c r="M393" s="45">
        <f t="shared" si="66"/>
        <v>31</v>
      </c>
      <c r="N393" s="36">
        <v>373</v>
      </c>
      <c r="O393" s="91">
        <f t="shared" si="60"/>
        <v>0</v>
      </c>
      <c r="P393" s="38">
        <f t="shared" si="61"/>
        <v>0</v>
      </c>
      <c r="W393" s="26">
        <f t="shared" si="62"/>
        <v>0</v>
      </c>
      <c r="X393" s="5">
        <f t="shared" si="63"/>
        <v>0</v>
      </c>
      <c r="Y393" s="5"/>
      <c r="AA393" s="63">
        <f t="shared" si="64"/>
        <v>0</v>
      </c>
      <c r="AB393" s="5">
        <f t="shared" si="65"/>
        <v>0</v>
      </c>
      <c r="AP393" s="3">
        <v>380</v>
      </c>
      <c r="AR393" s="14">
        <f t="shared" si="59"/>
        <v>0</v>
      </c>
      <c r="AS393" s="17" t="e">
        <f>IF(OR(AS392=0,AS392&gt;=#REF!),0,FV($O$1,AP393,-#REF!,0,1))</f>
        <v>#REF!</v>
      </c>
      <c r="AU393" s="5">
        <f t="shared" si="58"/>
        <v>0</v>
      </c>
    </row>
    <row r="394" spans="12:47" hidden="1" x14ac:dyDescent="0.25">
      <c r="L394" s="2" t="str">
        <f t="shared" si="67"/>
        <v/>
      </c>
      <c r="M394" s="45">
        <f t="shared" si="66"/>
        <v>31</v>
      </c>
      <c r="N394" s="36">
        <v>374</v>
      </c>
      <c r="O394" s="91">
        <f t="shared" si="60"/>
        <v>0</v>
      </c>
      <c r="P394" s="38">
        <f t="shared" si="61"/>
        <v>0</v>
      </c>
      <c r="W394" s="26">
        <f t="shared" si="62"/>
        <v>0</v>
      </c>
      <c r="X394" s="5">
        <f t="shared" si="63"/>
        <v>0</v>
      </c>
      <c r="Y394" s="5"/>
      <c r="AA394" s="63">
        <f t="shared" si="64"/>
        <v>0</v>
      </c>
      <c r="AB394" s="5">
        <f t="shared" si="65"/>
        <v>0</v>
      </c>
      <c r="AP394" s="3">
        <v>381</v>
      </c>
      <c r="AR394" s="14">
        <f t="shared" si="59"/>
        <v>0</v>
      </c>
      <c r="AS394" s="17" t="e">
        <f>IF(OR(AS393=0,AS393&gt;=#REF!),0,FV($O$1,AP394,-#REF!,0,1))</f>
        <v>#REF!</v>
      </c>
      <c r="AU394" s="5">
        <f t="shared" si="58"/>
        <v>0</v>
      </c>
    </row>
    <row r="395" spans="12:47" hidden="1" x14ac:dyDescent="0.25">
      <c r="L395" s="2" t="str">
        <f t="shared" si="67"/>
        <v/>
      </c>
      <c r="M395" s="45">
        <f t="shared" si="66"/>
        <v>31</v>
      </c>
      <c r="N395" s="36">
        <v>375</v>
      </c>
      <c r="O395" s="91">
        <f t="shared" si="60"/>
        <v>0</v>
      </c>
      <c r="P395" s="38">
        <f t="shared" si="61"/>
        <v>0</v>
      </c>
      <c r="W395" s="26">
        <f t="shared" si="62"/>
        <v>0</v>
      </c>
      <c r="X395" s="5">
        <f t="shared" si="63"/>
        <v>0</v>
      </c>
      <c r="Y395" s="5"/>
      <c r="AA395" s="63">
        <f t="shared" si="64"/>
        <v>0</v>
      </c>
      <c r="AB395" s="5">
        <f t="shared" si="65"/>
        <v>0</v>
      </c>
      <c r="AP395" s="3">
        <v>382</v>
      </c>
      <c r="AR395" s="14">
        <f t="shared" si="59"/>
        <v>0</v>
      </c>
      <c r="AS395" s="17" t="e">
        <f>IF(OR(AS394=0,AS394&gt;=#REF!),0,FV($O$1,AP395,-#REF!,0,1))</f>
        <v>#REF!</v>
      </c>
      <c r="AU395" s="5">
        <f t="shared" si="58"/>
        <v>0</v>
      </c>
    </row>
    <row r="396" spans="12:47" hidden="1" x14ac:dyDescent="0.25">
      <c r="L396" s="2" t="str">
        <f t="shared" si="67"/>
        <v/>
      </c>
      <c r="M396" s="45">
        <f t="shared" si="66"/>
        <v>31</v>
      </c>
      <c r="N396" s="36">
        <v>376</v>
      </c>
      <c r="O396" s="91">
        <f t="shared" si="60"/>
        <v>0</v>
      </c>
      <c r="P396" s="38">
        <f t="shared" si="61"/>
        <v>0</v>
      </c>
      <c r="W396" s="26">
        <f t="shared" si="62"/>
        <v>0</v>
      </c>
      <c r="X396" s="5">
        <f t="shared" si="63"/>
        <v>0</v>
      </c>
      <c r="Y396" s="5"/>
      <c r="AA396" s="63">
        <f t="shared" si="64"/>
        <v>0</v>
      </c>
      <c r="AB396" s="5">
        <f t="shared" si="65"/>
        <v>0</v>
      </c>
      <c r="AP396" s="3">
        <v>383</v>
      </c>
      <c r="AR396" s="14">
        <f t="shared" si="59"/>
        <v>0</v>
      </c>
      <c r="AS396" s="17" t="e">
        <f>IF(OR(AS395=0,AS395&gt;=#REF!),0,FV($O$1,AP396,-#REF!,0,1))</f>
        <v>#REF!</v>
      </c>
      <c r="AU396" s="5">
        <f t="shared" si="58"/>
        <v>0</v>
      </c>
    </row>
    <row r="397" spans="12:47" hidden="1" x14ac:dyDescent="0.25">
      <c r="L397" s="2" t="str">
        <f t="shared" si="67"/>
        <v/>
      </c>
      <c r="M397" s="45">
        <f t="shared" si="66"/>
        <v>31</v>
      </c>
      <c r="N397" s="36">
        <v>377</v>
      </c>
      <c r="O397" s="91">
        <f t="shared" si="60"/>
        <v>0</v>
      </c>
      <c r="P397" s="38">
        <f t="shared" si="61"/>
        <v>0</v>
      </c>
      <c r="W397" s="26">
        <f t="shared" si="62"/>
        <v>0</v>
      </c>
      <c r="X397" s="5">
        <f t="shared" si="63"/>
        <v>0</v>
      </c>
      <c r="Y397" s="5"/>
      <c r="AA397" s="63">
        <f t="shared" si="64"/>
        <v>0</v>
      </c>
      <c r="AB397" s="5">
        <f t="shared" si="65"/>
        <v>0</v>
      </c>
      <c r="AP397" s="3">
        <v>384</v>
      </c>
      <c r="AR397" s="14">
        <f t="shared" si="59"/>
        <v>0</v>
      </c>
      <c r="AS397" s="17" t="e">
        <f>IF(OR(AS396=0,AS396&gt;=#REF!),0,FV($O$1,AP397,-#REF!,0,1))</f>
        <v>#REF!</v>
      </c>
      <c r="AU397" s="5">
        <f t="shared" si="58"/>
        <v>0</v>
      </c>
    </row>
    <row r="398" spans="12:47" hidden="1" x14ac:dyDescent="0.25">
      <c r="L398" s="2" t="str">
        <f t="shared" si="67"/>
        <v/>
      </c>
      <c r="M398" s="45">
        <f t="shared" si="66"/>
        <v>31</v>
      </c>
      <c r="N398" s="36">
        <v>378</v>
      </c>
      <c r="O398" s="91">
        <f t="shared" si="60"/>
        <v>0</v>
      </c>
      <c r="P398" s="38">
        <f t="shared" si="61"/>
        <v>0</v>
      </c>
      <c r="W398" s="26">
        <f t="shared" si="62"/>
        <v>0</v>
      </c>
      <c r="X398" s="5">
        <f t="shared" si="63"/>
        <v>0</v>
      </c>
      <c r="Y398" s="5"/>
      <c r="AA398" s="63">
        <f t="shared" si="64"/>
        <v>0</v>
      </c>
      <c r="AB398" s="5">
        <f t="shared" si="65"/>
        <v>0</v>
      </c>
      <c r="AP398" s="3">
        <v>385</v>
      </c>
      <c r="AR398" s="14">
        <f t="shared" si="59"/>
        <v>0</v>
      </c>
      <c r="AS398" s="17" t="e">
        <f>IF(OR(AS397=0,AS397&gt;=#REF!),0,FV($O$1,AP398,-#REF!,0,1))</f>
        <v>#REF!</v>
      </c>
      <c r="AU398" s="5">
        <f t="shared" si="58"/>
        <v>0</v>
      </c>
    </row>
    <row r="399" spans="12:47" hidden="1" x14ac:dyDescent="0.25">
      <c r="L399" s="2" t="str">
        <f t="shared" si="67"/>
        <v/>
      </c>
      <c r="M399" s="45">
        <f t="shared" si="66"/>
        <v>31</v>
      </c>
      <c r="N399" s="36">
        <v>379</v>
      </c>
      <c r="O399" s="91">
        <f t="shared" si="60"/>
        <v>0</v>
      </c>
      <c r="P399" s="38">
        <f t="shared" si="61"/>
        <v>0</v>
      </c>
      <c r="W399" s="26">
        <f t="shared" si="62"/>
        <v>0</v>
      </c>
      <c r="X399" s="5">
        <f t="shared" si="63"/>
        <v>0</v>
      </c>
      <c r="Y399" s="5"/>
      <c r="AA399" s="63">
        <f t="shared" si="64"/>
        <v>0</v>
      </c>
      <c r="AB399" s="5">
        <f t="shared" si="65"/>
        <v>0</v>
      </c>
      <c r="AP399" s="3">
        <v>386</v>
      </c>
      <c r="AR399" s="14">
        <f t="shared" si="59"/>
        <v>0</v>
      </c>
      <c r="AS399" s="17" t="e">
        <f>IF(OR(AS398=0,AS398&gt;=#REF!),0,FV($O$1,AP399,-#REF!,0,1))</f>
        <v>#REF!</v>
      </c>
      <c r="AU399" s="5">
        <f t="shared" ref="AU399:AU462" si="68">X406</f>
        <v>0</v>
      </c>
    </row>
    <row r="400" spans="12:47" hidden="1" x14ac:dyDescent="0.25">
      <c r="L400" s="2" t="str">
        <f t="shared" si="67"/>
        <v/>
      </c>
      <c r="M400" s="45">
        <f t="shared" si="66"/>
        <v>31</v>
      </c>
      <c r="N400" s="36">
        <v>380</v>
      </c>
      <c r="O400" s="91">
        <f t="shared" si="60"/>
        <v>0</v>
      </c>
      <c r="P400" s="38">
        <f t="shared" si="61"/>
        <v>0</v>
      </c>
      <c r="W400" s="26">
        <f t="shared" si="62"/>
        <v>0</v>
      </c>
      <c r="X400" s="5">
        <f t="shared" si="63"/>
        <v>0</v>
      </c>
      <c r="Y400" s="5"/>
      <c r="AA400" s="63">
        <f t="shared" si="64"/>
        <v>0</v>
      </c>
      <c r="AB400" s="5">
        <f t="shared" si="65"/>
        <v>0</v>
      </c>
      <c r="AP400" s="3">
        <v>387</v>
      </c>
      <c r="AR400" s="14">
        <f t="shared" si="59"/>
        <v>0</v>
      </c>
      <c r="AS400" s="17" t="e">
        <f>IF(OR(AS399=0,AS399&gt;=#REF!),0,FV($O$1,AP400,-#REF!,0,1))</f>
        <v>#REF!</v>
      </c>
      <c r="AU400" s="5">
        <f t="shared" si="68"/>
        <v>0</v>
      </c>
    </row>
    <row r="401" spans="12:47" hidden="1" x14ac:dyDescent="0.25">
      <c r="L401" s="2" t="str">
        <f t="shared" si="67"/>
        <v/>
      </c>
      <c r="M401" s="45">
        <f t="shared" si="66"/>
        <v>31</v>
      </c>
      <c r="N401" s="36">
        <v>381</v>
      </c>
      <c r="O401" s="91">
        <f t="shared" si="60"/>
        <v>0</v>
      </c>
      <c r="P401" s="38">
        <f t="shared" si="61"/>
        <v>0</v>
      </c>
      <c r="W401" s="26">
        <f t="shared" si="62"/>
        <v>0</v>
      </c>
      <c r="X401" s="5">
        <f t="shared" si="63"/>
        <v>0</v>
      </c>
      <c r="Y401" s="5"/>
      <c r="AA401" s="63">
        <f t="shared" si="64"/>
        <v>0</v>
      </c>
      <c r="AB401" s="5">
        <f t="shared" si="65"/>
        <v>0</v>
      </c>
      <c r="AP401" s="3">
        <v>388</v>
      </c>
      <c r="AR401" s="14">
        <f t="shared" si="59"/>
        <v>0</v>
      </c>
      <c r="AS401" s="17" t="e">
        <f>IF(OR(AS400=0,AS400&gt;=#REF!),0,FV($O$1,AP401,-#REF!,0,1))</f>
        <v>#REF!</v>
      </c>
      <c r="AU401" s="5">
        <f t="shared" si="68"/>
        <v>0</v>
      </c>
    </row>
    <row r="402" spans="12:47" hidden="1" x14ac:dyDescent="0.25">
      <c r="L402" s="2" t="str">
        <f t="shared" si="67"/>
        <v/>
      </c>
      <c r="M402" s="45">
        <f t="shared" si="66"/>
        <v>31</v>
      </c>
      <c r="N402" s="36">
        <v>382</v>
      </c>
      <c r="O402" s="91">
        <f t="shared" si="60"/>
        <v>0</v>
      </c>
      <c r="P402" s="38">
        <f t="shared" si="61"/>
        <v>0</v>
      </c>
      <c r="W402" s="26">
        <f t="shared" si="62"/>
        <v>0</v>
      </c>
      <c r="X402" s="5">
        <f t="shared" si="63"/>
        <v>0</v>
      </c>
      <c r="Y402" s="5"/>
      <c r="AA402" s="63">
        <f t="shared" si="64"/>
        <v>0</v>
      </c>
      <c r="AB402" s="5">
        <f t="shared" si="65"/>
        <v>0</v>
      </c>
      <c r="AP402" s="3">
        <v>389</v>
      </c>
      <c r="AR402" s="14">
        <f t="shared" ref="AR402:AR465" si="69">IF(AP402&lt;=$X$3,FV($O$1,AP402,-$X$5,0,1),0)</f>
        <v>0</v>
      </c>
      <c r="AS402" s="17" t="e">
        <f>IF(OR(AS401=0,AS401&gt;=#REF!),0,FV($O$1,AP402,-#REF!,0,1))</f>
        <v>#REF!</v>
      </c>
      <c r="AU402" s="5">
        <f t="shared" si="68"/>
        <v>0</v>
      </c>
    </row>
    <row r="403" spans="12:47" hidden="1" x14ac:dyDescent="0.25">
      <c r="L403" s="2" t="str">
        <f t="shared" si="67"/>
        <v/>
      </c>
      <c r="M403" s="45">
        <f t="shared" si="66"/>
        <v>31</v>
      </c>
      <c r="N403" s="36">
        <v>383</v>
      </c>
      <c r="O403" s="91">
        <f t="shared" si="60"/>
        <v>0</v>
      </c>
      <c r="P403" s="38">
        <f t="shared" si="61"/>
        <v>0</v>
      </c>
      <c r="W403" s="26">
        <f t="shared" si="62"/>
        <v>0</v>
      </c>
      <c r="X403" s="5">
        <f t="shared" si="63"/>
        <v>0</v>
      </c>
      <c r="Y403" s="5"/>
      <c r="AA403" s="63">
        <f t="shared" si="64"/>
        <v>0</v>
      </c>
      <c r="AB403" s="5">
        <f t="shared" si="65"/>
        <v>0</v>
      </c>
      <c r="AP403" s="3">
        <v>390</v>
      </c>
      <c r="AR403" s="14">
        <f t="shared" si="69"/>
        <v>0</v>
      </c>
      <c r="AS403" s="17" t="e">
        <f>IF(OR(AS402=0,AS402&gt;=#REF!),0,FV($O$1,AP403,-#REF!,0,1))</f>
        <v>#REF!</v>
      </c>
      <c r="AU403" s="5">
        <f t="shared" si="68"/>
        <v>0</v>
      </c>
    </row>
    <row r="404" spans="12:47" hidden="1" x14ac:dyDescent="0.25">
      <c r="L404" s="2" t="str">
        <f t="shared" si="67"/>
        <v/>
      </c>
      <c r="M404" s="45">
        <f t="shared" si="66"/>
        <v>31</v>
      </c>
      <c r="N404" s="36">
        <v>384</v>
      </c>
      <c r="O404" s="91">
        <f t="shared" si="60"/>
        <v>0</v>
      </c>
      <c r="P404" s="38">
        <f t="shared" si="61"/>
        <v>0</v>
      </c>
      <c r="W404" s="26">
        <f t="shared" si="62"/>
        <v>0</v>
      </c>
      <c r="X404" s="5">
        <f t="shared" si="63"/>
        <v>0</v>
      </c>
      <c r="Y404" s="5"/>
      <c r="AA404" s="63">
        <f t="shared" si="64"/>
        <v>0</v>
      </c>
      <c r="AB404" s="5">
        <f t="shared" si="65"/>
        <v>0</v>
      </c>
      <c r="AP404" s="3">
        <v>391</v>
      </c>
      <c r="AR404" s="14">
        <f t="shared" si="69"/>
        <v>0</v>
      </c>
      <c r="AS404" s="17" t="e">
        <f>IF(OR(AS403=0,AS403&gt;=#REF!),0,FV($O$1,AP404,-#REF!,0,1))</f>
        <v>#REF!</v>
      </c>
      <c r="AU404" s="5">
        <f t="shared" si="68"/>
        <v>0</v>
      </c>
    </row>
    <row r="405" spans="12:47" hidden="1" x14ac:dyDescent="0.25">
      <c r="L405" s="2" t="str">
        <f t="shared" si="67"/>
        <v/>
      </c>
      <c r="M405" s="45">
        <f t="shared" si="66"/>
        <v>32</v>
      </c>
      <c r="N405" s="36">
        <v>385</v>
      </c>
      <c r="O405" s="91">
        <f t="shared" ref="O405:O468" si="70">IF(N405&lt;=InvMonths,SU_Amt*(1+GRate)^M405,0)</f>
        <v>0</v>
      </c>
      <c r="P405" s="38">
        <f t="shared" ref="P405:P468" si="71">FV(SIPRate,InvMonths-N405+1,0,-O405,1)</f>
        <v>0</v>
      </c>
      <c r="W405" s="26">
        <f t="shared" ref="W405:W468" si="72">IF(N405&lt;=InvMonths,$X$18,0)</f>
        <v>0</v>
      </c>
      <c r="X405" s="5">
        <f t="shared" ref="X405:X468" si="73">FV(SIPRate,(InvMonths-N405+1),0,-W405,1)</f>
        <v>0</v>
      </c>
      <c r="Y405" s="5"/>
      <c r="AA405" s="63">
        <f t="shared" ref="AA405:AA468" si="74">IF(N405&lt;=InvMonths,$AB$18*(1+$C$32)^M405,0)</f>
        <v>0</v>
      </c>
      <c r="AB405" s="5">
        <f t="shared" ref="AB405:AB468" si="75">FV(SIPRate,(InvMonths-N405+1),0,-AA405,1)</f>
        <v>0</v>
      </c>
      <c r="AP405" s="3">
        <v>392</v>
      </c>
      <c r="AR405" s="14">
        <f t="shared" si="69"/>
        <v>0</v>
      </c>
      <c r="AS405" s="17" t="e">
        <f>IF(OR(AS404=0,AS404&gt;=#REF!),0,FV($O$1,AP405,-#REF!,0,1))</f>
        <v>#REF!</v>
      </c>
      <c r="AU405" s="5">
        <f t="shared" si="68"/>
        <v>0</v>
      </c>
    </row>
    <row r="406" spans="12:47" hidden="1" x14ac:dyDescent="0.25">
      <c r="L406" s="2" t="str">
        <f t="shared" si="67"/>
        <v/>
      </c>
      <c r="M406" s="45">
        <f t="shared" ref="M406:M469" si="76">IF(MOD(N406,12)=0,(N406/12)-1,QUOTIENT(N406,12))</f>
        <v>32</v>
      </c>
      <c r="N406" s="36">
        <v>386</v>
      </c>
      <c r="O406" s="91">
        <f t="shared" si="70"/>
        <v>0</v>
      </c>
      <c r="P406" s="38">
        <f t="shared" si="71"/>
        <v>0</v>
      </c>
      <c r="W406" s="26">
        <f t="shared" si="72"/>
        <v>0</v>
      </c>
      <c r="X406" s="5">
        <f t="shared" si="73"/>
        <v>0</v>
      </c>
      <c r="Y406" s="5"/>
      <c r="AA406" s="63">
        <f t="shared" si="74"/>
        <v>0</v>
      </c>
      <c r="AB406" s="5">
        <f t="shared" si="75"/>
        <v>0</v>
      </c>
      <c r="AP406" s="3">
        <v>393</v>
      </c>
      <c r="AR406" s="14">
        <f t="shared" si="69"/>
        <v>0</v>
      </c>
      <c r="AS406" s="17" t="e">
        <f>IF(OR(AS405=0,AS405&gt;=#REF!),0,FV($O$1,AP406,-#REF!,0,1))</f>
        <v>#REF!</v>
      </c>
      <c r="AU406" s="5">
        <f t="shared" si="68"/>
        <v>0</v>
      </c>
    </row>
    <row r="407" spans="12:47" hidden="1" x14ac:dyDescent="0.25">
      <c r="L407" s="2" t="str">
        <f t="shared" si="67"/>
        <v/>
      </c>
      <c r="M407" s="45">
        <f t="shared" si="76"/>
        <v>32</v>
      </c>
      <c r="N407" s="36">
        <v>387</v>
      </c>
      <c r="O407" s="91">
        <f t="shared" si="70"/>
        <v>0</v>
      </c>
      <c r="P407" s="38">
        <f t="shared" si="71"/>
        <v>0</v>
      </c>
      <c r="W407" s="26">
        <f t="shared" si="72"/>
        <v>0</v>
      </c>
      <c r="X407" s="5">
        <f t="shared" si="73"/>
        <v>0</v>
      </c>
      <c r="Y407" s="5"/>
      <c r="AA407" s="63">
        <f t="shared" si="74"/>
        <v>0</v>
      </c>
      <c r="AB407" s="5">
        <f t="shared" si="75"/>
        <v>0</v>
      </c>
      <c r="AP407" s="3">
        <v>394</v>
      </c>
      <c r="AR407" s="14">
        <f t="shared" si="69"/>
        <v>0</v>
      </c>
      <c r="AS407" s="17" t="e">
        <f>IF(OR(AS406=0,AS406&gt;=#REF!),0,FV($O$1,AP407,-#REF!,0,1))</f>
        <v>#REF!</v>
      </c>
      <c r="AU407" s="5">
        <f t="shared" si="68"/>
        <v>0</v>
      </c>
    </row>
    <row r="408" spans="12:47" hidden="1" x14ac:dyDescent="0.25">
      <c r="L408" s="2" t="str">
        <f t="shared" si="67"/>
        <v/>
      </c>
      <c r="M408" s="45">
        <f t="shared" si="76"/>
        <v>32</v>
      </c>
      <c r="N408" s="36">
        <v>388</v>
      </c>
      <c r="O408" s="91">
        <f t="shared" si="70"/>
        <v>0</v>
      </c>
      <c r="P408" s="38">
        <f t="shared" si="71"/>
        <v>0</v>
      </c>
      <c r="W408" s="26">
        <f t="shared" si="72"/>
        <v>0</v>
      </c>
      <c r="X408" s="5">
        <f t="shared" si="73"/>
        <v>0</v>
      </c>
      <c r="Y408" s="5"/>
      <c r="AA408" s="63">
        <f t="shared" si="74"/>
        <v>0</v>
      </c>
      <c r="AB408" s="5">
        <f t="shared" si="75"/>
        <v>0</v>
      </c>
      <c r="AP408" s="3">
        <v>395</v>
      </c>
      <c r="AR408" s="14">
        <f t="shared" si="69"/>
        <v>0</v>
      </c>
      <c r="AS408" s="17" t="e">
        <f>IF(OR(AS407=0,AS407&gt;=#REF!),0,FV($O$1,AP408,-#REF!,0,1))</f>
        <v>#REF!</v>
      </c>
      <c r="AU408" s="5">
        <f t="shared" si="68"/>
        <v>0</v>
      </c>
    </row>
    <row r="409" spans="12:47" hidden="1" x14ac:dyDescent="0.25">
      <c r="L409" s="2" t="str">
        <f t="shared" si="67"/>
        <v/>
      </c>
      <c r="M409" s="45">
        <f t="shared" si="76"/>
        <v>32</v>
      </c>
      <c r="N409" s="36">
        <v>389</v>
      </c>
      <c r="O409" s="91">
        <f t="shared" si="70"/>
        <v>0</v>
      </c>
      <c r="P409" s="38">
        <f t="shared" si="71"/>
        <v>0</v>
      </c>
      <c r="W409" s="26">
        <f t="shared" si="72"/>
        <v>0</v>
      </c>
      <c r="X409" s="5">
        <f t="shared" si="73"/>
        <v>0</v>
      </c>
      <c r="Y409" s="5"/>
      <c r="AA409" s="63">
        <f t="shared" si="74"/>
        <v>0</v>
      </c>
      <c r="AB409" s="5">
        <f t="shared" si="75"/>
        <v>0</v>
      </c>
      <c r="AP409" s="3">
        <v>396</v>
      </c>
      <c r="AR409" s="14">
        <f t="shared" si="69"/>
        <v>0</v>
      </c>
      <c r="AS409" s="17" t="e">
        <f>IF(OR(AS408=0,AS408&gt;=#REF!),0,FV($O$1,AP409,-#REF!,0,1))</f>
        <v>#REF!</v>
      </c>
      <c r="AU409" s="5">
        <f t="shared" si="68"/>
        <v>0</v>
      </c>
    </row>
    <row r="410" spans="12:47" hidden="1" x14ac:dyDescent="0.25">
      <c r="L410" s="2" t="str">
        <f t="shared" si="67"/>
        <v/>
      </c>
      <c r="M410" s="45">
        <f t="shared" si="76"/>
        <v>32</v>
      </c>
      <c r="N410" s="36">
        <v>390</v>
      </c>
      <c r="O410" s="91">
        <f t="shared" si="70"/>
        <v>0</v>
      </c>
      <c r="P410" s="38">
        <f t="shared" si="71"/>
        <v>0</v>
      </c>
      <c r="W410" s="26">
        <f t="shared" si="72"/>
        <v>0</v>
      </c>
      <c r="X410" s="5">
        <f t="shared" si="73"/>
        <v>0</v>
      </c>
      <c r="Y410" s="5"/>
      <c r="AA410" s="63">
        <f t="shared" si="74"/>
        <v>0</v>
      </c>
      <c r="AB410" s="5">
        <f t="shared" si="75"/>
        <v>0</v>
      </c>
      <c r="AP410" s="3">
        <v>397</v>
      </c>
      <c r="AR410" s="14">
        <f t="shared" si="69"/>
        <v>0</v>
      </c>
      <c r="AS410" s="17" t="e">
        <f>IF(OR(AS409=0,AS409&gt;=#REF!),0,FV($O$1,AP410,-#REF!,0,1))</f>
        <v>#REF!</v>
      </c>
      <c r="AU410" s="5">
        <f t="shared" si="68"/>
        <v>0</v>
      </c>
    </row>
    <row r="411" spans="12:47" hidden="1" x14ac:dyDescent="0.25">
      <c r="L411" s="2" t="str">
        <f t="shared" si="67"/>
        <v/>
      </c>
      <c r="M411" s="45">
        <f t="shared" si="76"/>
        <v>32</v>
      </c>
      <c r="N411" s="36">
        <v>391</v>
      </c>
      <c r="O411" s="91">
        <f t="shared" si="70"/>
        <v>0</v>
      </c>
      <c r="P411" s="38">
        <f t="shared" si="71"/>
        <v>0</v>
      </c>
      <c r="W411" s="26">
        <f t="shared" si="72"/>
        <v>0</v>
      </c>
      <c r="X411" s="5">
        <f t="shared" si="73"/>
        <v>0</v>
      </c>
      <c r="Y411" s="5"/>
      <c r="AA411" s="63">
        <f t="shared" si="74"/>
        <v>0</v>
      </c>
      <c r="AB411" s="5">
        <f t="shared" si="75"/>
        <v>0</v>
      </c>
      <c r="AP411" s="3">
        <v>398</v>
      </c>
      <c r="AR411" s="14">
        <f t="shared" si="69"/>
        <v>0</v>
      </c>
      <c r="AS411" s="17" t="e">
        <f>IF(OR(AS410=0,AS410&gt;=#REF!),0,FV($O$1,AP411,-#REF!,0,1))</f>
        <v>#REF!</v>
      </c>
      <c r="AU411" s="5">
        <f t="shared" si="68"/>
        <v>0</v>
      </c>
    </row>
    <row r="412" spans="12:47" hidden="1" x14ac:dyDescent="0.25">
      <c r="L412" s="2" t="str">
        <f t="shared" si="67"/>
        <v/>
      </c>
      <c r="M412" s="45">
        <f t="shared" si="76"/>
        <v>32</v>
      </c>
      <c r="N412" s="36">
        <v>392</v>
      </c>
      <c r="O412" s="91">
        <f t="shared" si="70"/>
        <v>0</v>
      </c>
      <c r="P412" s="38">
        <f t="shared" si="71"/>
        <v>0</v>
      </c>
      <c r="W412" s="26">
        <f t="shared" si="72"/>
        <v>0</v>
      </c>
      <c r="X412" s="5">
        <f t="shared" si="73"/>
        <v>0</v>
      </c>
      <c r="Y412" s="5"/>
      <c r="AA412" s="63">
        <f t="shared" si="74"/>
        <v>0</v>
      </c>
      <c r="AB412" s="5">
        <f t="shared" si="75"/>
        <v>0</v>
      </c>
      <c r="AP412" s="3">
        <v>399</v>
      </c>
      <c r="AR412" s="14">
        <f t="shared" si="69"/>
        <v>0</v>
      </c>
      <c r="AS412" s="17" t="e">
        <f>IF(OR(AS411=0,AS411&gt;=#REF!),0,FV($O$1,AP412,-#REF!,0,1))</f>
        <v>#REF!</v>
      </c>
      <c r="AU412" s="5">
        <f t="shared" si="68"/>
        <v>0</v>
      </c>
    </row>
    <row r="413" spans="12:47" hidden="1" x14ac:dyDescent="0.25">
      <c r="L413" s="2" t="str">
        <f t="shared" si="67"/>
        <v/>
      </c>
      <c r="M413" s="45">
        <f t="shared" si="76"/>
        <v>32</v>
      </c>
      <c r="N413" s="36">
        <v>393</v>
      </c>
      <c r="O413" s="91">
        <f t="shared" si="70"/>
        <v>0</v>
      </c>
      <c r="P413" s="38">
        <f t="shared" si="71"/>
        <v>0</v>
      </c>
      <c r="W413" s="26">
        <f t="shared" si="72"/>
        <v>0</v>
      </c>
      <c r="X413" s="5">
        <f t="shared" si="73"/>
        <v>0</v>
      </c>
      <c r="Y413" s="5"/>
      <c r="AA413" s="63">
        <f t="shared" si="74"/>
        <v>0</v>
      </c>
      <c r="AB413" s="5">
        <f t="shared" si="75"/>
        <v>0</v>
      </c>
      <c r="AP413" s="3">
        <v>400</v>
      </c>
      <c r="AR413" s="14">
        <f t="shared" si="69"/>
        <v>0</v>
      </c>
      <c r="AS413" s="17" t="e">
        <f>IF(OR(AS412=0,AS412&gt;=#REF!),0,FV($O$1,AP413,-#REF!,0,1))</f>
        <v>#REF!</v>
      </c>
      <c r="AU413" s="5">
        <f t="shared" si="68"/>
        <v>0</v>
      </c>
    </row>
    <row r="414" spans="12:47" hidden="1" x14ac:dyDescent="0.25">
      <c r="L414" s="2" t="str">
        <f t="shared" ref="L414:L477" si="77">IF(MOD(M414,12)=0,M414/12,"")</f>
        <v/>
      </c>
      <c r="M414" s="45">
        <f t="shared" si="76"/>
        <v>32</v>
      </c>
      <c r="N414" s="36">
        <v>394</v>
      </c>
      <c r="O414" s="91">
        <f t="shared" si="70"/>
        <v>0</v>
      </c>
      <c r="P414" s="38">
        <f t="shared" si="71"/>
        <v>0</v>
      </c>
      <c r="W414" s="26">
        <f t="shared" si="72"/>
        <v>0</v>
      </c>
      <c r="X414" s="5">
        <f t="shared" si="73"/>
        <v>0</v>
      </c>
      <c r="Y414" s="5"/>
      <c r="AA414" s="63">
        <f t="shared" si="74"/>
        <v>0</v>
      </c>
      <c r="AB414" s="5">
        <f t="shared" si="75"/>
        <v>0</v>
      </c>
      <c r="AP414" s="3">
        <v>401</v>
      </c>
      <c r="AR414" s="14">
        <f t="shared" si="69"/>
        <v>0</v>
      </c>
      <c r="AS414" s="17" t="e">
        <f>IF(OR(AS413=0,AS413&gt;=#REF!),0,FV($O$1,AP414,-#REF!,0,1))</f>
        <v>#REF!</v>
      </c>
      <c r="AU414" s="5">
        <f t="shared" si="68"/>
        <v>0</v>
      </c>
    </row>
    <row r="415" spans="12:47" hidden="1" x14ac:dyDescent="0.25">
      <c r="L415" s="2" t="str">
        <f t="shared" si="77"/>
        <v/>
      </c>
      <c r="M415" s="45">
        <f t="shared" si="76"/>
        <v>32</v>
      </c>
      <c r="N415" s="36">
        <v>395</v>
      </c>
      <c r="O415" s="91">
        <f t="shared" si="70"/>
        <v>0</v>
      </c>
      <c r="P415" s="38">
        <f t="shared" si="71"/>
        <v>0</v>
      </c>
      <c r="W415" s="26">
        <f t="shared" si="72"/>
        <v>0</v>
      </c>
      <c r="X415" s="5">
        <f t="shared" si="73"/>
        <v>0</v>
      </c>
      <c r="Y415" s="5"/>
      <c r="AA415" s="63">
        <f t="shared" si="74"/>
        <v>0</v>
      </c>
      <c r="AB415" s="5">
        <f t="shared" si="75"/>
        <v>0</v>
      </c>
      <c r="AP415" s="3">
        <v>402</v>
      </c>
      <c r="AR415" s="14">
        <f t="shared" si="69"/>
        <v>0</v>
      </c>
      <c r="AS415" s="17" t="e">
        <f>IF(OR(AS414=0,AS414&gt;=#REF!),0,FV($O$1,AP415,-#REF!,0,1))</f>
        <v>#REF!</v>
      </c>
      <c r="AU415" s="5">
        <f t="shared" si="68"/>
        <v>0</v>
      </c>
    </row>
    <row r="416" spans="12:47" hidden="1" x14ac:dyDescent="0.25">
      <c r="L416" s="2" t="str">
        <f t="shared" si="77"/>
        <v/>
      </c>
      <c r="M416" s="45">
        <f t="shared" si="76"/>
        <v>32</v>
      </c>
      <c r="N416" s="36">
        <v>396</v>
      </c>
      <c r="O416" s="91">
        <f t="shared" si="70"/>
        <v>0</v>
      </c>
      <c r="P416" s="38">
        <f t="shared" si="71"/>
        <v>0</v>
      </c>
      <c r="W416" s="26">
        <f t="shared" si="72"/>
        <v>0</v>
      </c>
      <c r="X416" s="5">
        <f t="shared" si="73"/>
        <v>0</v>
      </c>
      <c r="Y416" s="5"/>
      <c r="AA416" s="63">
        <f t="shared" si="74"/>
        <v>0</v>
      </c>
      <c r="AB416" s="5">
        <f t="shared" si="75"/>
        <v>0</v>
      </c>
      <c r="AP416" s="3">
        <v>403</v>
      </c>
      <c r="AR416" s="14">
        <f t="shared" si="69"/>
        <v>0</v>
      </c>
      <c r="AS416" s="17" t="e">
        <f>IF(OR(AS415=0,AS415&gt;=#REF!),0,FV($O$1,AP416,-#REF!,0,1))</f>
        <v>#REF!</v>
      </c>
      <c r="AU416" s="5">
        <f t="shared" si="68"/>
        <v>0</v>
      </c>
    </row>
    <row r="417" spans="12:47" hidden="1" x14ac:dyDescent="0.25">
      <c r="L417" s="2" t="str">
        <f t="shared" si="77"/>
        <v/>
      </c>
      <c r="M417" s="45">
        <f t="shared" si="76"/>
        <v>33</v>
      </c>
      <c r="N417" s="36">
        <v>397</v>
      </c>
      <c r="O417" s="91">
        <f t="shared" si="70"/>
        <v>0</v>
      </c>
      <c r="P417" s="38">
        <f t="shared" si="71"/>
        <v>0</v>
      </c>
      <c r="W417" s="26">
        <f t="shared" si="72"/>
        <v>0</v>
      </c>
      <c r="X417" s="5">
        <f t="shared" si="73"/>
        <v>0</v>
      </c>
      <c r="Y417" s="5"/>
      <c r="AA417" s="63">
        <f t="shared" si="74"/>
        <v>0</v>
      </c>
      <c r="AB417" s="5">
        <f t="shared" si="75"/>
        <v>0</v>
      </c>
      <c r="AP417" s="3">
        <v>404</v>
      </c>
      <c r="AR417" s="14">
        <f t="shared" si="69"/>
        <v>0</v>
      </c>
      <c r="AS417" s="17" t="e">
        <f>IF(OR(AS416=0,AS416&gt;=#REF!),0,FV($O$1,AP417,-#REF!,0,1))</f>
        <v>#REF!</v>
      </c>
      <c r="AU417" s="5">
        <f t="shared" si="68"/>
        <v>0</v>
      </c>
    </row>
    <row r="418" spans="12:47" hidden="1" x14ac:dyDescent="0.25">
      <c r="L418" s="2" t="str">
        <f t="shared" si="77"/>
        <v/>
      </c>
      <c r="M418" s="45">
        <f t="shared" si="76"/>
        <v>33</v>
      </c>
      <c r="N418" s="36">
        <v>398</v>
      </c>
      <c r="O418" s="91">
        <f t="shared" si="70"/>
        <v>0</v>
      </c>
      <c r="P418" s="38">
        <f t="shared" si="71"/>
        <v>0</v>
      </c>
      <c r="W418" s="26">
        <f t="shared" si="72"/>
        <v>0</v>
      </c>
      <c r="X418" s="5">
        <f t="shared" si="73"/>
        <v>0</v>
      </c>
      <c r="Y418" s="5"/>
      <c r="AA418" s="63">
        <f t="shared" si="74"/>
        <v>0</v>
      </c>
      <c r="AB418" s="5">
        <f t="shared" si="75"/>
        <v>0</v>
      </c>
      <c r="AP418" s="3">
        <v>405</v>
      </c>
      <c r="AR418" s="14">
        <f t="shared" si="69"/>
        <v>0</v>
      </c>
      <c r="AS418" s="17" t="e">
        <f>IF(OR(AS417=0,AS417&gt;=#REF!),0,FV($O$1,AP418,-#REF!,0,1))</f>
        <v>#REF!</v>
      </c>
      <c r="AU418" s="5">
        <f t="shared" si="68"/>
        <v>0</v>
      </c>
    </row>
    <row r="419" spans="12:47" hidden="1" x14ac:dyDescent="0.25">
      <c r="L419" s="2" t="str">
        <f t="shared" si="77"/>
        <v/>
      </c>
      <c r="M419" s="45">
        <f t="shared" si="76"/>
        <v>33</v>
      </c>
      <c r="N419" s="36">
        <v>399</v>
      </c>
      <c r="O419" s="91">
        <f t="shared" si="70"/>
        <v>0</v>
      </c>
      <c r="P419" s="38">
        <f t="shared" si="71"/>
        <v>0</v>
      </c>
      <c r="W419" s="26">
        <f t="shared" si="72"/>
        <v>0</v>
      </c>
      <c r="X419" s="5">
        <f t="shared" si="73"/>
        <v>0</v>
      </c>
      <c r="Y419" s="5"/>
      <c r="AA419" s="63">
        <f t="shared" si="74"/>
        <v>0</v>
      </c>
      <c r="AB419" s="5">
        <f t="shared" si="75"/>
        <v>0</v>
      </c>
      <c r="AP419" s="3">
        <v>406</v>
      </c>
      <c r="AR419" s="14">
        <f t="shared" si="69"/>
        <v>0</v>
      </c>
      <c r="AS419" s="17" t="e">
        <f>IF(OR(AS418=0,AS418&gt;=#REF!),0,FV($O$1,AP419,-#REF!,0,1))</f>
        <v>#REF!</v>
      </c>
      <c r="AU419" s="5">
        <f t="shared" si="68"/>
        <v>0</v>
      </c>
    </row>
    <row r="420" spans="12:47" hidden="1" x14ac:dyDescent="0.25">
      <c r="L420" s="2" t="str">
        <f t="shared" si="77"/>
        <v/>
      </c>
      <c r="M420" s="45">
        <f t="shared" si="76"/>
        <v>33</v>
      </c>
      <c r="N420" s="36">
        <v>400</v>
      </c>
      <c r="O420" s="91">
        <f t="shared" si="70"/>
        <v>0</v>
      </c>
      <c r="P420" s="38">
        <f t="shared" si="71"/>
        <v>0</v>
      </c>
      <c r="W420" s="26">
        <f t="shared" si="72"/>
        <v>0</v>
      </c>
      <c r="X420" s="5">
        <f t="shared" si="73"/>
        <v>0</v>
      </c>
      <c r="Y420" s="5"/>
      <c r="AA420" s="63">
        <f t="shared" si="74"/>
        <v>0</v>
      </c>
      <c r="AB420" s="5">
        <f t="shared" si="75"/>
        <v>0</v>
      </c>
      <c r="AP420" s="3">
        <v>407</v>
      </c>
      <c r="AR420" s="14">
        <f t="shared" si="69"/>
        <v>0</v>
      </c>
      <c r="AS420" s="17" t="e">
        <f>IF(OR(AS419=0,AS419&gt;=#REF!),0,FV($O$1,AP420,-#REF!,0,1))</f>
        <v>#REF!</v>
      </c>
      <c r="AU420" s="5">
        <f t="shared" si="68"/>
        <v>0</v>
      </c>
    </row>
    <row r="421" spans="12:47" hidden="1" x14ac:dyDescent="0.25">
      <c r="L421" s="2" t="str">
        <f t="shared" si="77"/>
        <v/>
      </c>
      <c r="M421" s="45">
        <f t="shared" si="76"/>
        <v>33</v>
      </c>
      <c r="N421" s="36">
        <v>401</v>
      </c>
      <c r="O421" s="91">
        <f t="shared" si="70"/>
        <v>0</v>
      </c>
      <c r="P421" s="38">
        <f t="shared" si="71"/>
        <v>0</v>
      </c>
      <c r="W421" s="26">
        <f t="shared" si="72"/>
        <v>0</v>
      </c>
      <c r="X421" s="5">
        <f t="shared" si="73"/>
        <v>0</v>
      </c>
      <c r="Y421" s="5"/>
      <c r="AA421" s="63">
        <f t="shared" si="74"/>
        <v>0</v>
      </c>
      <c r="AB421" s="5">
        <f t="shared" si="75"/>
        <v>0</v>
      </c>
      <c r="AP421" s="3">
        <v>408</v>
      </c>
      <c r="AR421" s="14">
        <f t="shared" si="69"/>
        <v>0</v>
      </c>
      <c r="AS421" s="17" t="e">
        <f>IF(OR(AS420=0,AS420&gt;=#REF!),0,FV($O$1,AP421,-#REF!,0,1))</f>
        <v>#REF!</v>
      </c>
      <c r="AU421" s="5">
        <f t="shared" si="68"/>
        <v>0</v>
      </c>
    </row>
    <row r="422" spans="12:47" hidden="1" x14ac:dyDescent="0.25">
      <c r="L422" s="2" t="str">
        <f t="shared" si="77"/>
        <v/>
      </c>
      <c r="M422" s="45">
        <f t="shared" si="76"/>
        <v>33</v>
      </c>
      <c r="N422" s="36">
        <v>402</v>
      </c>
      <c r="O422" s="91">
        <f t="shared" si="70"/>
        <v>0</v>
      </c>
      <c r="P422" s="38">
        <f t="shared" si="71"/>
        <v>0</v>
      </c>
      <c r="W422" s="26">
        <f t="shared" si="72"/>
        <v>0</v>
      </c>
      <c r="X422" s="5">
        <f t="shared" si="73"/>
        <v>0</v>
      </c>
      <c r="Y422" s="5"/>
      <c r="AA422" s="63">
        <f t="shared" si="74"/>
        <v>0</v>
      </c>
      <c r="AB422" s="5">
        <f t="shared" si="75"/>
        <v>0</v>
      </c>
      <c r="AP422" s="3">
        <v>409</v>
      </c>
      <c r="AR422" s="14">
        <f t="shared" si="69"/>
        <v>0</v>
      </c>
      <c r="AS422" s="17" t="e">
        <f>IF(OR(AS421=0,AS421&gt;=#REF!),0,FV($O$1,AP422,-#REF!,0,1))</f>
        <v>#REF!</v>
      </c>
      <c r="AU422" s="5">
        <f t="shared" si="68"/>
        <v>0</v>
      </c>
    </row>
    <row r="423" spans="12:47" hidden="1" x14ac:dyDescent="0.25">
      <c r="L423" s="2" t="str">
        <f t="shared" si="77"/>
        <v/>
      </c>
      <c r="M423" s="45">
        <f t="shared" si="76"/>
        <v>33</v>
      </c>
      <c r="N423" s="36">
        <v>403</v>
      </c>
      <c r="O423" s="91">
        <f t="shared" si="70"/>
        <v>0</v>
      </c>
      <c r="P423" s="38">
        <f t="shared" si="71"/>
        <v>0</v>
      </c>
      <c r="W423" s="26">
        <f t="shared" si="72"/>
        <v>0</v>
      </c>
      <c r="X423" s="5">
        <f t="shared" si="73"/>
        <v>0</v>
      </c>
      <c r="Y423" s="5"/>
      <c r="AA423" s="63">
        <f t="shared" si="74"/>
        <v>0</v>
      </c>
      <c r="AB423" s="5">
        <f t="shared" si="75"/>
        <v>0</v>
      </c>
      <c r="AP423" s="3">
        <v>410</v>
      </c>
      <c r="AR423" s="14">
        <f t="shared" si="69"/>
        <v>0</v>
      </c>
      <c r="AS423" s="17" t="e">
        <f>IF(OR(AS422=0,AS422&gt;=#REF!),0,FV($O$1,AP423,-#REF!,0,1))</f>
        <v>#REF!</v>
      </c>
      <c r="AU423" s="5">
        <f t="shared" si="68"/>
        <v>0</v>
      </c>
    </row>
    <row r="424" spans="12:47" hidden="1" x14ac:dyDescent="0.25">
      <c r="L424" s="2" t="str">
        <f t="shared" si="77"/>
        <v/>
      </c>
      <c r="M424" s="45">
        <f t="shared" si="76"/>
        <v>33</v>
      </c>
      <c r="N424" s="36">
        <v>404</v>
      </c>
      <c r="O424" s="91">
        <f t="shared" si="70"/>
        <v>0</v>
      </c>
      <c r="P424" s="38">
        <f t="shared" si="71"/>
        <v>0</v>
      </c>
      <c r="W424" s="26">
        <f t="shared" si="72"/>
        <v>0</v>
      </c>
      <c r="X424" s="5">
        <f t="shared" si="73"/>
        <v>0</v>
      </c>
      <c r="Y424" s="5"/>
      <c r="AA424" s="63">
        <f t="shared" si="74"/>
        <v>0</v>
      </c>
      <c r="AB424" s="5">
        <f t="shared" si="75"/>
        <v>0</v>
      </c>
      <c r="AP424" s="3">
        <v>411</v>
      </c>
      <c r="AR424" s="14">
        <f t="shared" si="69"/>
        <v>0</v>
      </c>
      <c r="AS424" s="17" t="e">
        <f>IF(OR(AS423=0,AS423&gt;=#REF!),0,FV($O$1,AP424,-#REF!,0,1))</f>
        <v>#REF!</v>
      </c>
      <c r="AU424" s="5">
        <f t="shared" si="68"/>
        <v>0</v>
      </c>
    </row>
    <row r="425" spans="12:47" hidden="1" x14ac:dyDescent="0.25">
      <c r="L425" s="2" t="str">
        <f t="shared" si="77"/>
        <v/>
      </c>
      <c r="M425" s="45">
        <f t="shared" si="76"/>
        <v>33</v>
      </c>
      <c r="N425" s="36">
        <v>405</v>
      </c>
      <c r="O425" s="91">
        <f t="shared" si="70"/>
        <v>0</v>
      </c>
      <c r="P425" s="38">
        <f t="shared" si="71"/>
        <v>0</v>
      </c>
      <c r="W425" s="26">
        <f t="shared" si="72"/>
        <v>0</v>
      </c>
      <c r="X425" s="5">
        <f t="shared" si="73"/>
        <v>0</v>
      </c>
      <c r="Y425" s="5"/>
      <c r="AA425" s="63">
        <f t="shared" si="74"/>
        <v>0</v>
      </c>
      <c r="AB425" s="5">
        <f t="shared" si="75"/>
        <v>0</v>
      </c>
      <c r="AP425" s="3">
        <v>412</v>
      </c>
      <c r="AR425" s="14">
        <f t="shared" si="69"/>
        <v>0</v>
      </c>
      <c r="AS425" s="17" t="e">
        <f>IF(OR(AS424=0,AS424&gt;=#REF!),0,FV($O$1,AP425,-#REF!,0,1))</f>
        <v>#REF!</v>
      </c>
      <c r="AU425" s="5">
        <f t="shared" si="68"/>
        <v>0</v>
      </c>
    </row>
    <row r="426" spans="12:47" hidden="1" x14ac:dyDescent="0.25">
      <c r="L426" s="2" t="str">
        <f t="shared" si="77"/>
        <v/>
      </c>
      <c r="M426" s="45">
        <f t="shared" si="76"/>
        <v>33</v>
      </c>
      <c r="N426" s="36">
        <v>406</v>
      </c>
      <c r="O426" s="91">
        <f t="shared" si="70"/>
        <v>0</v>
      </c>
      <c r="P426" s="38">
        <f t="shared" si="71"/>
        <v>0</v>
      </c>
      <c r="W426" s="26">
        <f t="shared" si="72"/>
        <v>0</v>
      </c>
      <c r="X426" s="5">
        <f t="shared" si="73"/>
        <v>0</v>
      </c>
      <c r="Y426" s="5"/>
      <c r="AA426" s="63">
        <f t="shared" si="74"/>
        <v>0</v>
      </c>
      <c r="AB426" s="5">
        <f t="shared" si="75"/>
        <v>0</v>
      </c>
      <c r="AP426" s="3">
        <v>413</v>
      </c>
      <c r="AR426" s="14">
        <f t="shared" si="69"/>
        <v>0</v>
      </c>
      <c r="AS426" s="17" t="e">
        <f>IF(OR(AS425=0,AS425&gt;=#REF!),0,FV($O$1,AP426,-#REF!,0,1))</f>
        <v>#REF!</v>
      </c>
      <c r="AU426" s="5">
        <f t="shared" si="68"/>
        <v>0</v>
      </c>
    </row>
    <row r="427" spans="12:47" hidden="1" x14ac:dyDescent="0.25">
      <c r="L427" s="2" t="str">
        <f t="shared" si="77"/>
        <v/>
      </c>
      <c r="M427" s="45">
        <f t="shared" si="76"/>
        <v>33</v>
      </c>
      <c r="N427" s="36">
        <v>407</v>
      </c>
      <c r="O427" s="91">
        <f t="shared" si="70"/>
        <v>0</v>
      </c>
      <c r="P427" s="38">
        <f t="shared" si="71"/>
        <v>0</v>
      </c>
      <c r="W427" s="26">
        <f t="shared" si="72"/>
        <v>0</v>
      </c>
      <c r="X427" s="5">
        <f t="shared" si="73"/>
        <v>0</v>
      </c>
      <c r="Y427" s="5"/>
      <c r="AA427" s="63">
        <f t="shared" si="74"/>
        <v>0</v>
      </c>
      <c r="AB427" s="5">
        <f t="shared" si="75"/>
        <v>0</v>
      </c>
      <c r="AP427" s="3">
        <v>414</v>
      </c>
      <c r="AR427" s="14">
        <f t="shared" si="69"/>
        <v>0</v>
      </c>
      <c r="AS427" s="17" t="e">
        <f>IF(OR(AS426=0,AS426&gt;=#REF!),0,FV($O$1,AP427,-#REF!,0,1))</f>
        <v>#REF!</v>
      </c>
      <c r="AU427" s="5">
        <f t="shared" si="68"/>
        <v>0</v>
      </c>
    </row>
    <row r="428" spans="12:47" hidden="1" x14ac:dyDescent="0.25">
      <c r="L428" s="2" t="str">
        <f t="shared" si="77"/>
        <v/>
      </c>
      <c r="M428" s="45">
        <f t="shared" si="76"/>
        <v>33</v>
      </c>
      <c r="N428" s="36">
        <v>408</v>
      </c>
      <c r="O428" s="91">
        <f t="shared" si="70"/>
        <v>0</v>
      </c>
      <c r="P428" s="38">
        <f t="shared" si="71"/>
        <v>0</v>
      </c>
      <c r="W428" s="26">
        <f t="shared" si="72"/>
        <v>0</v>
      </c>
      <c r="X428" s="5">
        <f t="shared" si="73"/>
        <v>0</v>
      </c>
      <c r="Y428" s="5"/>
      <c r="AA428" s="63">
        <f t="shared" si="74"/>
        <v>0</v>
      </c>
      <c r="AB428" s="5">
        <f t="shared" si="75"/>
        <v>0</v>
      </c>
      <c r="AP428" s="3">
        <v>415</v>
      </c>
      <c r="AR428" s="14">
        <f t="shared" si="69"/>
        <v>0</v>
      </c>
      <c r="AS428" s="17" t="e">
        <f>IF(OR(AS427=0,AS427&gt;=#REF!),0,FV($O$1,AP428,-#REF!,0,1))</f>
        <v>#REF!</v>
      </c>
      <c r="AU428" s="5">
        <f t="shared" si="68"/>
        <v>0</v>
      </c>
    </row>
    <row r="429" spans="12:47" hidden="1" x14ac:dyDescent="0.25">
      <c r="L429" s="2" t="str">
        <f t="shared" si="77"/>
        <v/>
      </c>
      <c r="M429" s="45">
        <f t="shared" si="76"/>
        <v>34</v>
      </c>
      <c r="N429" s="36">
        <v>409</v>
      </c>
      <c r="O429" s="91">
        <f t="shared" si="70"/>
        <v>0</v>
      </c>
      <c r="P429" s="38">
        <f t="shared" si="71"/>
        <v>0</v>
      </c>
      <c r="W429" s="26">
        <f t="shared" si="72"/>
        <v>0</v>
      </c>
      <c r="X429" s="5">
        <f t="shared" si="73"/>
        <v>0</v>
      </c>
      <c r="Y429" s="5"/>
      <c r="AA429" s="63">
        <f t="shared" si="74"/>
        <v>0</v>
      </c>
      <c r="AB429" s="5">
        <f t="shared" si="75"/>
        <v>0</v>
      </c>
      <c r="AP429" s="3">
        <v>416</v>
      </c>
      <c r="AR429" s="14">
        <f t="shared" si="69"/>
        <v>0</v>
      </c>
      <c r="AS429" s="17" t="e">
        <f>IF(OR(AS428=0,AS428&gt;=#REF!),0,FV($O$1,AP429,-#REF!,0,1))</f>
        <v>#REF!</v>
      </c>
      <c r="AU429" s="5">
        <f t="shared" si="68"/>
        <v>0</v>
      </c>
    </row>
    <row r="430" spans="12:47" hidden="1" x14ac:dyDescent="0.25">
      <c r="L430" s="2" t="str">
        <f t="shared" si="77"/>
        <v/>
      </c>
      <c r="M430" s="45">
        <f t="shared" si="76"/>
        <v>34</v>
      </c>
      <c r="N430" s="36">
        <v>410</v>
      </c>
      <c r="O430" s="91">
        <f t="shared" si="70"/>
        <v>0</v>
      </c>
      <c r="P430" s="38">
        <f t="shared" si="71"/>
        <v>0</v>
      </c>
      <c r="W430" s="26">
        <f t="shared" si="72"/>
        <v>0</v>
      </c>
      <c r="X430" s="5">
        <f t="shared" si="73"/>
        <v>0</v>
      </c>
      <c r="Y430" s="5"/>
      <c r="AA430" s="63">
        <f t="shared" si="74"/>
        <v>0</v>
      </c>
      <c r="AB430" s="5">
        <f t="shared" si="75"/>
        <v>0</v>
      </c>
      <c r="AP430" s="3">
        <v>417</v>
      </c>
      <c r="AR430" s="14">
        <f t="shared" si="69"/>
        <v>0</v>
      </c>
      <c r="AS430" s="17" t="e">
        <f>IF(OR(AS429=0,AS429&gt;=#REF!),0,FV($O$1,AP430,-#REF!,0,1))</f>
        <v>#REF!</v>
      </c>
      <c r="AU430" s="5">
        <f t="shared" si="68"/>
        <v>0</v>
      </c>
    </row>
    <row r="431" spans="12:47" hidden="1" x14ac:dyDescent="0.25">
      <c r="L431" s="2" t="str">
        <f t="shared" si="77"/>
        <v/>
      </c>
      <c r="M431" s="45">
        <f t="shared" si="76"/>
        <v>34</v>
      </c>
      <c r="N431" s="36">
        <v>411</v>
      </c>
      <c r="O431" s="91">
        <f t="shared" si="70"/>
        <v>0</v>
      </c>
      <c r="P431" s="38">
        <f t="shared" si="71"/>
        <v>0</v>
      </c>
      <c r="W431" s="26">
        <f t="shared" si="72"/>
        <v>0</v>
      </c>
      <c r="X431" s="5">
        <f t="shared" si="73"/>
        <v>0</v>
      </c>
      <c r="Y431" s="5"/>
      <c r="AA431" s="63">
        <f t="shared" si="74"/>
        <v>0</v>
      </c>
      <c r="AB431" s="5">
        <f t="shared" si="75"/>
        <v>0</v>
      </c>
      <c r="AP431" s="3">
        <v>418</v>
      </c>
      <c r="AR431" s="14">
        <f t="shared" si="69"/>
        <v>0</v>
      </c>
      <c r="AS431" s="17" t="e">
        <f>IF(OR(AS430=0,AS430&gt;=#REF!),0,FV($O$1,AP431,-#REF!,0,1))</f>
        <v>#REF!</v>
      </c>
      <c r="AU431" s="5">
        <f t="shared" si="68"/>
        <v>0</v>
      </c>
    </row>
    <row r="432" spans="12:47" hidden="1" x14ac:dyDescent="0.25">
      <c r="L432" s="2" t="str">
        <f t="shared" si="77"/>
        <v/>
      </c>
      <c r="M432" s="45">
        <f t="shared" si="76"/>
        <v>34</v>
      </c>
      <c r="N432" s="36">
        <v>412</v>
      </c>
      <c r="O432" s="91">
        <f t="shared" si="70"/>
        <v>0</v>
      </c>
      <c r="P432" s="38">
        <f t="shared" si="71"/>
        <v>0</v>
      </c>
      <c r="W432" s="26">
        <f t="shared" si="72"/>
        <v>0</v>
      </c>
      <c r="X432" s="5">
        <f t="shared" si="73"/>
        <v>0</v>
      </c>
      <c r="Y432" s="5"/>
      <c r="AA432" s="63">
        <f t="shared" si="74"/>
        <v>0</v>
      </c>
      <c r="AB432" s="5">
        <f t="shared" si="75"/>
        <v>0</v>
      </c>
      <c r="AP432" s="3">
        <v>419</v>
      </c>
      <c r="AR432" s="14">
        <f t="shared" si="69"/>
        <v>0</v>
      </c>
      <c r="AS432" s="17" t="e">
        <f>IF(OR(AS431=0,AS431&gt;=#REF!),0,FV($O$1,AP432,-#REF!,0,1))</f>
        <v>#REF!</v>
      </c>
      <c r="AU432" s="5">
        <f t="shared" si="68"/>
        <v>0</v>
      </c>
    </row>
    <row r="433" spans="12:47" hidden="1" x14ac:dyDescent="0.25">
      <c r="L433" s="2" t="str">
        <f t="shared" si="77"/>
        <v/>
      </c>
      <c r="M433" s="45">
        <f t="shared" si="76"/>
        <v>34</v>
      </c>
      <c r="N433" s="36">
        <v>413</v>
      </c>
      <c r="O433" s="91">
        <f t="shared" si="70"/>
        <v>0</v>
      </c>
      <c r="P433" s="38">
        <f t="shared" si="71"/>
        <v>0</v>
      </c>
      <c r="W433" s="26">
        <f t="shared" si="72"/>
        <v>0</v>
      </c>
      <c r="X433" s="5">
        <f t="shared" si="73"/>
        <v>0</v>
      </c>
      <c r="Y433" s="5"/>
      <c r="AA433" s="63">
        <f t="shared" si="74"/>
        <v>0</v>
      </c>
      <c r="AB433" s="5">
        <f t="shared" si="75"/>
        <v>0</v>
      </c>
      <c r="AP433" s="3">
        <v>420</v>
      </c>
      <c r="AR433" s="14">
        <f t="shared" si="69"/>
        <v>0</v>
      </c>
      <c r="AS433" s="17" t="e">
        <f>IF(OR(AS432=0,AS432&gt;=#REF!),0,FV($O$1,AP433,-#REF!,0,1))</f>
        <v>#REF!</v>
      </c>
      <c r="AU433" s="5">
        <f t="shared" si="68"/>
        <v>0</v>
      </c>
    </row>
    <row r="434" spans="12:47" hidden="1" x14ac:dyDescent="0.25">
      <c r="L434" s="2" t="str">
        <f t="shared" si="77"/>
        <v/>
      </c>
      <c r="M434" s="45">
        <f t="shared" si="76"/>
        <v>34</v>
      </c>
      <c r="N434" s="36">
        <v>414</v>
      </c>
      <c r="O434" s="91">
        <f t="shared" si="70"/>
        <v>0</v>
      </c>
      <c r="P434" s="38">
        <f t="shared" si="71"/>
        <v>0</v>
      </c>
      <c r="W434" s="26">
        <f t="shared" si="72"/>
        <v>0</v>
      </c>
      <c r="X434" s="5">
        <f t="shared" si="73"/>
        <v>0</v>
      </c>
      <c r="Y434" s="5"/>
      <c r="AA434" s="63">
        <f t="shared" si="74"/>
        <v>0</v>
      </c>
      <c r="AB434" s="5">
        <f t="shared" si="75"/>
        <v>0</v>
      </c>
      <c r="AP434" s="3">
        <v>421</v>
      </c>
      <c r="AR434" s="14">
        <f t="shared" si="69"/>
        <v>0</v>
      </c>
      <c r="AS434" s="17" t="e">
        <f>IF(OR(AS433=0,AS433&gt;=#REF!),0,FV($O$1,AP434,-#REF!,0,1))</f>
        <v>#REF!</v>
      </c>
      <c r="AU434" s="5">
        <f t="shared" si="68"/>
        <v>0</v>
      </c>
    </row>
    <row r="435" spans="12:47" hidden="1" x14ac:dyDescent="0.25">
      <c r="L435" s="2" t="str">
        <f t="shared" si="77"/>
        <v/>
      </c>
      <c r="M435" s="45">
        <f t="shared" si="76"/>
        <v>34</v>
      </c>
      <c r="N435" s="36">
        <v>415</v>
      </c>
      <c r="O435" s="91">
        <f t="shared" si="70"/>
        <v>0</v>
      </c>
      <c r="P435" s="38">
        <f t="shared" si="71"/>
        <v>0</v>
      </c>
      <c r="W435" s="26">
        <f t="shared" si="72"/>
        <v>0</v>
      </c>
      <c r="X435" s="5">
        <f t="shared" si="73"/>
        <v>0</v>
      </c>
      <c r="Y435" s="5"/>
      <c r="AA435" s="63">
        <f t="shared" si="74"/>
        <v>0</v>
      </c>
      <c r="AB435" s="5">
        <f t="shared" si="75"/>
        <v>0</v>
      </c>
      <c r="AP435" s="3">
        <v>422</v>
      </c>
      <c r="AR435" s="14">
        <f t="shared" si="69"/>
        <v>0</v>
      </c>
      <c r="AS435" s="17" t="e">
        <f>IF(OR(AS434=0,AS434&gt;=#REF!),0,FV($O$1,AP435,-#REF!,0,1))</f>
        <v>#REF!</v>
      </c>
      <c r="AU435" s="5">
        <f t="shared" si="68"/>
        <v>0</v>
      </c>
    </row>
    <row r="436" spans="12:47" hidden="1" x14ac:dyDescent="0.25">
      <c r="L436" s="2" t="str">
        <f t="shared" si="77"/>
        <v/>
      </c>
      <c r="M436" s="45">
        <f t="shared" si="76"/>
        <v>34</v>
      </c>
      <c r="N436" s="36">
        <v>416</v>
      </c>
      <c r="O436" s="91">
        <f t="shared" si="70"/>
        <v>0</v>
      </c>
      <c r="P436" s="38">
        <f t="shared" si="71"/>
        <v>0</v>
      </c>
      <c r="W436" s="26">
        <f t="shared" si="72"/>
        <v>0</v>
      </c>
      <c r="X436" s="5">
        <f t="shared" si="73"/>
        <v>0</v>
      </c>
      <c r="Y436" s="5"/>
      <c r="AA436" s="63">
        <f t="shared" si="74"/>
        <v>0</v>
      </c>
      <c r="AB436" s="5">
        <f t="shared" si="75"/>
        <v>0</v>
      </c>
      <c r="AP436" s="3">
        <v>423</v>
      </c>
      <c r="AR436" s="14">
        <f t="shared" si="69"/>
        <v>0</v>
      </c>
      <c r="AS436" s="17" t="e">
        <f>IF(OR(AS435=0,AS435&gt;=#REF!),0,FV($O$1,AP436,-#REF!,0,1))</f>
        <v>#REF!</v>
      </c>
      <c r="AU436" s="5">
        <f t="shared" si="68"/>
        <v>0</v>
      </c>
    </row>
    <row r="437" spans="12:47" hidden="1" x14ac:dyDescent="0.25">
      <c r="L437" s="2" t="str">
        <f t="shared" si="77"/>
        <v/>
      </c>
      <c r="M437" s="45">
        <f t="shared" si="76"/>
        <v>34</v>
      </c>
      <c r="N437" s="36">
        <v>417</v>
      </c>
      <c r="O437" s="91">
        <f t="shared" si="70"/>
        <v>0</v>
      </c>
      <c r="P437" s="38">
        <f t="shared" si="71"/>
        <v>0</v>
      </c>
      <c r="W437" s="26">
        <f t="shared" si="72"/>
        <v>0</v>
      </c>
      <c r="X437" s="5">
        <f t="shared" si="73"/>
        <v>0</v>
      </c>
      <c r="Y437" s="5"/>
      <c r="AA437" s="63">
        <f t="shared" si="74"/>
        <v>0</v>
      </c>
      <c r="AB437" s="5">
        <f t="shared" si="75"/>
        <v>0</v>
      </c>
      <c r="AP437" s="3">
        <v>424</v>
      </c>
      <c r="AR437" s="14">
        <f t="shared" si="69"/>
        <v>0</v>
      </c>
      <c r="AS437" s="17" t="e">
        <f>IF(OR(AS436=0,AS436&gt;=#REF!),0,FV($O$1,AP437,-#REF!,0,1))</f>
        <v>#REF!</v>
      </c>
      <c r="AU437" s="5">
        <f t="shared" si="68"/>
        <v>0</v>
      </c>
    </row>
    <row r="438" spans="12:47" hidden="1" x14ac:dyDescent="0.25">
      <c r="L438" s="2" t="str">
        <f t="shared" si="77"/>
        <v/>
      </c>
      <c r="M438" s="45">
        <f t="shared" si="76"/>
        <v>34</v>
      </c>
      <c r="N438" s="36">
        <v>418</v>
      </c>
      <c r="O438" s="91">
        <f t="shared" si="70"/>
        <v>0</v>
      </c>
      <c r="P438" s="38">
        <f t="shared" si="71"/>
        <v>0</v>
      </c>
      <c r="W438" s="26">
        <f t="shared" si="72"/>
        <v>0</v>
      </c>
      <c r="X438" s="5">
        <f t="shared" si="73"/>
        <v>0</v>
      </c>
      <c r="Y438" s="5"/>
      <c r="AA438" s="63">
        <f t="shared" si="74"/>
        <v>0</v>
      </c>
      <c r="AB438" s="5">
        <f t="shared" si="75"/>
        <v>0</v>
      </c>
      <c r="AP438" s="3">
        <v>425</v>
      </c>
      <c r="AR438" s="14">
        <f t="shared" si="69"/>
        <v>0</v>
      </c>
      <c r="AS438" s="17" t="e">
        <f>IF(OR(AS437=0,AS437&gt;=#REF!),0,FV($O$1,AP438,-#REF!,0,1))</f>
        <v>#REF!</v>
      </c>
      <c r="AU438" s="5">
        <f t="shared" si="68"/>
        <v>0</v>
      </c>
    </row>
    <row r="439" spans="12:47" hidden="1" x14ac:dyDescent="0.25">
      <c r="L439" s="2" t="str">
        <f t="shared" si="77"/>
        <v/>
      </c>
      <c r="M439" s="45">
        <f t="shared" si="76"/>
        <v>34</v>
      </c>
      <c r="N439" s="36">
        <v>419</v>
      </c>
      <c r="O439" s="91">
        <f t="shared" si="70"/>
        <v>0</v>
      </c>
      <c r="P439" s="38">
        <f t="shared" si="71"/>
        <v>0</v>
      </c>
      <c r="W439" s="26">
        <f t="shared" si="72"/>
        <v>0</v>
      </c>
      <c r="X439" s="5">
        <f t="shared" si="73"/>
        <v>0</v>
      </c>
      <c r="Y439" s="5"/>
      <c r="AA439" s="63">
        <f t="shared" si="74"/>
        <v>0</v>
      </c>
      <c r="AB439" s="5">
        <f t="shared" si="75"/>
        <v>0</v>
      </c>
      <c r="AP439" s="3">
        <v>426</v>
      </c>
      <c r="AR439" s="14">
        <f t="shared" si="69"/>
        <v>0</v>
      </c>
      <c r="AS439" s="17" t="e">
        <f>IF(OR(AS438=0,AS438&gt;=#REF!),0,FV($O$1,AP439,-#REF!,0,1))</f>
        <v>#REF!</v>
      </c>
      <c r="AU439" s="5">
        <f t="shared" si="68"/>
        <v>0</v>
      </c>
    </row>
    <row r="440" spans="12:47" hidden="1" x14ac:dyDescent="0.25">
      <c r="L440" s="2" t="str">
        <f t="shared" si="77"/>
        <v/>
      </c>
      <c r="M440" s="45">
        <f t="shared" si="76"/>
        <v>34</v>
      </c>
      <c r="N440" s="36">
        <v>420</v>
      </c>
      <c r="O440" s="91">
        <f t="shared" si="70"/>
        <v>0</v>
      </c>
      <c r="P440" s="38">
        <f t="shared" si="71"/>
        <v>0</v>
      </c>
      <c r="W440" s="26">
        <f t="shared" si="72"/>
        <v>0</v>
      </c>
      <c r="X440" s="5">
        <f t="shared" si="73"/>
        <v>0</v>
      </c>
      <c r="Y440" s="5"/>
      <c r="AA440" s="63">
        <f t="shared" si="74"/>
        <v>0</v>
      </c>
      <c r="AB440" s="5">
        <f t="shared" si="75"/>
        <v>0</v>
      </c>
      <c r="AP440" s="3">
        <v>427</v>
      </c>
      <c r="AR440" s="14">
        <f t="shared" si="69"/>
        <v>0</v>
      </c>
      <c r="AS440" s="17" t="e">
        <f>IF(OR(AS439=0,AS439&gt;=#REF!),0,FV($O$1,AP440,-#REF!,0,1))</f>
        <v>#REF!</v>
      </c>
      <c r="AU440" s="5">
        <f t="shared" si="68"/>
        <v>0</v>
      </c>
    </row>
    <row r="441" spans="12:47" hidden="1" x14ac:dyDescent="0.25">
      <c r="L441" s="2" t="str">
        <f t="shared" si="77"/>
        <v/>
      </c>
      <c r="M441" s="45">
        <f t="shared" si="76"/>
        <v>35</v>
      </c>
      <c r="N441" s="36">
        <v>421</v>
      </c>
      <c r="O441" s="91">
        <f t="shared" si="70"/>
        <v>0</v>
      </c>
      <c r="P441" s="38">
        <f t="shared" si="71"/>
        <v>0</v>
      </c>
      <c r="W441" s="26">
        <f t="shared" si="72"/>
        <v>0</v>
      </c>
      <c r="X441" s="5">
        <f t="shared" si="73"/>
        <v>0</v>
      </c>
      <c r="Y441" s="5"/>
      <c r="AA441" s="63">
        <f t="shared" si="74"/>
        <v>0</v>
      </c>
      <c r="AB441" s="5">
        <f t="shared" si="75"/>
        <v>0</v>
      </c>
      <c r="AP441" s="3">
        <v>428</v>
      </c>
      <c r="AR441" s="14">
        <f t="shared" si="69"/>
        <v>0</v>
      </c>
      <c r="AS441" s="17" t="e">
        <f>IF(OR(AS440=0,AS440&gt;=#REF!),0,FV($O$1,AP441,-#REF!,0,1))</f>
        <v>#REF!</v>
      </c>
      <c r="AU441" s="5">
        <f t="shared" si="68"/>
        <v>0</v>
      </c>
    </row>
    <row r="442" spans="12:47" hidden="1" x14ac:dyDescent="0.25">
      <c r="L442" s="2" t="str">
        <f t="shared" si="77"/>
        <v/>
      </c>
      <c r="M442" s="45">
        <f t="shared" si="76"/>
        <v>35</v>
      </c>
      <c r="N442" s="36">
        <v>422</v>
      </c>
      <c r="O442" s="91">
        <f t="shared" si="70"/>
        <v>0</v>
      </c>
      <c r="P442" s="38">
        <f t="shared" si="71"/>
        <v>0</v>
      </c>
      <c r="W442" s="26">
        <f t="shared" si="72"/>
        <v>0</v>
      </c>
      <c r="X442" s="5">
        <f t="shared" si="73"/>
        <v>0</v>
      </c>
      <c r="Y442" s="5"/>
      <c r="AA442" s="63">
        <f t="shared" si="74"/>
        <v>0</v>
      </c>
      <c r="AB442" s="5">
        <f t="shared" si="75"/>
        <v>0</v>
      </c>
      <c r="AP442" s="3">
        <v>429</v>
      </c>
      <c r="AR442" s="14">
        <f t="shared" si="69"/>
        <v>0</v>
      </c>
      <c r="AS442" s="17" t="e">
        <f>IF(OR(AS441=0,AS441&gt;=#REF!),0,FV($O$1,AP442,-#REF!,0,1))</f>
        <v>#REF!</v>
      </c>
      <c r="AU442" s="5">
        <f t="shared" si="68"/>
        <v>0</v>
      </c>
    </row>
    <row r="443" spans="12:47" hidden="1" x14ac:dyDescent="0.25">
      <c r="L443" s="2" t="str">
        <f t="shared" si="77"/>
        <v/>
      </c>
      <c r="M443" s="45">
        <f t="shared" si="76"/>
        <v>35</v>
      </c>
      <c r="N443" s="36">
        <v>423</v>
      </c>
      <c r="O443" s="91">
        <f t="shared" si="70"/>
        <v>0</v>
      </c>
      <c r="P443" s="38">
        <f t="shared" si="71"/>
        <v>0</v>
      </c>
      <c r="W443" s="26">
        <f t="shared" si="72"/>
        <v>0</v>
      </c>
      <c r="X443" s="5">
        <f t="shared" si="73"/>
        <v>0</v>
      </c>
      <c r="Y443" s="5"/>
      <c r="AA443" s="63">
        <f t="shared" si="74"/>
        <v>0</v>
      </c>
      <c r="AB443" s="5">
        <f t="shared" si="75"/>
        <v>0</v>
      </c>
      <c r="AP443" s="3">
        <v>430</v>
      </c>
      <c r="AR443" s="14">
        <f t="shared" si="69"/>
        <v>0</v>
      </c>
      <c r="AS443" s="17" t="e">
        <f>IF(OR(AS442=0,AS442&gt;=#REF!),0,FV($O$1,AP443,-#REF!,0,1))</f>
        <v>#REF!</v>
      </c>
      <c r="AU443" s="5">
        <f t="shared" si="68"/>
        <v>0</v>
      </c>
    </row>
    <row r="444" spans="12:47" hidden="1" x14ac:dyDescent="0.25">
      <c r="L444" s="2" t="str">
        <f t="shared" si="77"/>
        <v/>
      </c>
      <c r="M444" s="45">
        <f t="shared" si="76"/>
        <v>35</v>
      </c>
      <c r="N444" s="36">
        <v>424</v>
      </c>
      <c r="O444" s="91">
        <f t="shared" si="70"/>
        <v>0</v>
      </c>
      <c r="P444" s="38">
        <f t="shared" si="71"/>
        <v>0</v>
      </c>
      <c r="W444" s="26">
        <f t="shared" si="72"/>
        <v>0</v>
      </c>
      <c r="X444" s="5">
        <f t="shared" si="73"/>
        <v>0</v>
      </c>
      <c r="Y444" s="5"/>
      <c r="AA444" s="63">
        <f t="shared" si="74"/>
        <v>0</v>
      </c>
      <c r="AB444" s="5">
        <f t="shared" si="75"/>
        <v>0</v>
      </c>
      <c r="AP444" s="3">
        <v>431</v>
      </c>
      <c r="AR444" s="14">
        <f t="shared" si="69"/>
        <v>0</v>
      </c>
      <c r="AS444" s="17" t="e">
        <f>IF(OR(AS443=0,AS443&gt;=#REF!),0,FV($O$1,AP444,-#REF!,0,1))</f>
        <v>#REF!</v>
      </c>
      <c r="AU444" s="5">
        <f t="shared" si="68"/>
        <v>0</v>
      </c>
    </row>
    <row r="445" spans="12:47" hidden="1" x14ac:dyDescent="0.25">
      <c r="L445" s="2" t="str">
        <f t="shared" si="77"/>
        <v/>
      </c>
      <c r="M445" s="45">
        <f t="shared" si="76"/>
        <v>35</v>
      </c>
      <c r="N445" s="36">
        <v>425</v>
      </c>
      <c r="O445" s="91">
        <f t="shared" si="70"/>
        <v>0</v>
      </c>
      <c r="P445" s="38">
        <f t="shared" si="71"/>
        <v>0</v>
      </c>
      <c r="W445" s="26">
        <f t="shared" si="72"/>
        <v>0</v>
      </c>
      <c r="X445" s="5">
        <f t="shared" si="73"/>
        <v>0</v>
      </c>
      <c r="Y445" s="5"/>
      <c r="AA445" s="63">
        <f t="shared" si="74"/>
        <v>0</v>
      </c>
      <c r="AB445" s="5">
        <f t="shared" si="75"/>
        <v>0</v>
      </c>
      <c r="AP445" s="3">
        <v>432</v>
      </c>
      <c r="AR445" s="14">
        <f t="shared" si="69"/>
        <v>0</v>
      </c>
      <c r="AS445" s="17" t="e">
        <f>IF(OR(AS444=0,AS444&gt;=#REF!),0,FV($O$1,AP445,-#REF!,0,1))</f>
        <v>#REF!</v>
      </c>
      <c r="AU445" s="5">
        <f t="shared" si="68"/>
        <v>0</v>
      </c>
    </row>
    <row r="446" spans="12:47" hidden="1" x14ac:dyDescent="0.25">
      <c r="L446" s="2" t="str">
        <f t="shared" si="77"/>
        <v/>
      </c>
      <c r="M446" s="45">
        <f t="shared" si="76"/>
        <v>35</v>
      </c>
      <c r="N446" s="36">
        <v>426</v>
      </c>
      <c r="O446" s="91">
        <f t="shared" si="70"/>
        <v>0</v>
      </c>
      <c r="P446" s="38">
        <f t="shared" si="71"/>
        <v>0</v>
      </c>
      <c r="W446" s="26">
        <f t="shared" si="72"/>
        <v>0</v>
      </c>
      <c r="X446" s="5">
        <f t="shared" si="73"/>
        <v>0</v>
      </c>
      <c r="Y446" s="5"/>
      <c r="AA446" s="63">
        <f t="shared" si="74"/>
        <v>0</v>
      </c>
      <c r="AB446" s="5">
        <f t="shared" si="75"/>
        <v>0</v>
      </c>
      <c r="AP446" s="3">
        <v>433</v>
      </c>
      <c r="AR446" s="14">
        <f t="shared" si="69"/>
        <v>0</v>
      </c>
      <c r="AS446" s="17" t="e">
        <f>IF(OR(AS445=0,AS445&gt;=#REF!),0,FV($O$1,AP446,-#REF!,0,1))</f>
        <v>#REF!</v>
      </c>
      <c r="AU446" s="5">
        <f t="shared" si="68"/>
        <v>0</v>
      </c>
    </row>
    <row r="447" spans="12:47" hidden="1" x14ac:dyDescent="0.25">
      <c r="L447" s="2" t="str">
        <f t="shared" si="77"/>
        <v/>
      </c>
      <c r="M447" s="45">
        <f t="shared" si="76"/>
        <v>35</v>
      </c>
      <c r="N447" s="36">
        <v>427</v>
      </c>
      <c r="O447" s="91">
        <f t="shared" si="70"/>
        <v>0</v>
      </c>
      <c r="P447" s="38">
        <f t="shared" si="71"/>
        <v>0</v>
      </c>
      <c r="W447" s="26">
        <f t="shared" si="72"/>
        <v>0</v>
      </c>
      <c r="X447" s="5">
        <f t="shared" si="73"/>
        <v>0</v>
      </c>
      <c r="Y447" s="5"/>
      <c r="AA447" s="63">
        <f t="shared" si="74"/>
        <v>0</v>
      </c>
      <c r="AB447" s="5">
        <f t="shared" si="75"/>
        <v>0</v>
      </c>
      <c r="AP447" s="3">
        <v>434</v>
      </c>
      <c r="AR447" s="14">
        <f t="shared" si="69"/>
        <v>0</v>
      </c>
      <c r="AS447" s="17" t="e">
        <f>IF(OR(AS446=0,AS446&gt;=#REF!),0,FV($O$1,AP447,-#REF!,0,1))</f>
        <v>#REF!</v>
      </c>
      <c r="AU447" s="5">
        <f t="shared" si="68"/>
        <v>0</v>
      </c>
    </row>
    <row r="448" spans="12:47" hidden="1" x14ac:dyDescent="0.25">
      <c r="L448" s="2" t="str">
        <f t="shared" si="77"/>
        <v/>
      </c>
      <c r="M448" s="45">
        <f t="shared" si="76"/>
        <v>35</v>
      </c>
      <c r="N448" s="36">
        <v>428</v>
      </c>
      <c r="O448" s="91">
        <f t="shared" si="70"/>
        <v>0</v>
      </c>
      <c r="P448" s="38">
        <f t="shared" si="71"/>
        <v>0</v>
      </c>
      <c r="W448" s="26">
        <f t="shared" si="72"/>
        <v>0</v>
      </c>
      <c r="X448" s="5">
        <f t="shared" si="73"/>
        <v>0</v>
      </c>
      <c r="Y448" s="5"/>
      <c r="AA448" s="63">
        <f t="shared" si="74"/>
        <v>0</v>
      </c>
      <c r="AB448" s="5">
        <f t="shared" si="75"/>
        <v>0</v>
      </c>
      <c r="AP448" s="3">
        <v>435</v>
      </c>
      <c r="AR448" s="14">
        <f t="shared" si="69"/>
        <v>0</v>
      </c>
      <c r="AS448" s="17" t="e">
        <f>IF(OR(AS447=0,AS447&gt;=#REF!),0,FV($O$1,AP448,-#REF!,0,1))</f>
        <v>#REF!</v>
      </c>
      <c r="AU448" s="5">
        <f t="shared" si="68"/>
        <v>0</v>
      </c>
    </row>
    <row r="449" spans="12:47" hidden="1" x14ac:dyDescent="0.25">
      <c r="L449" s="2" t="str">
        <f t="shared" si="77"/>
        <v/>
      </c>
      <c r="M449" s="45">
        <f t="shared" si="76"/>
        <v>35</v>
      </c>
      <c r="N449" s="36">
        <v>429</v>
      </c>
      <c r="O449" s="91">
        <f t="shared" si="70"/>
        <v>0</v>
      </c>
      <c r="P449" s="38">
        <f t="shared" si="71"/>
        <v>0</v>
      </c>
      <c r="W449" s="26">
        <f t="shared" si="72"/>
        <v>0</v>
      </c>
      <c r="X449" s="5">
        <f t="shared" si="73"/>
        <v>0</v>
      </c>
      <c r="Y449" s="5"/>
      <c r="AA449" s="63">
        <f t="shared" si="74"/>
        <v>0</v>
      </c>
      <c r="AB449" s="5">
        <f t="shared" si="75"/>
        <v>0</v>
      </c>
      <c r="AP449" s="3">
        <v>436</v>
      </c>
      <c r="AR449" s="14">
        <f t="shared" si="69"/>
        <v>0</v>
      </c>
      <c r="AS449" s="17" t="e">
        <f>IF(OR(AS448=0,AS448&gt;=#REF!),0,FV($O$1,AP449,-#REF!,0,1))</f>
        <v>#REF!</v>
      </c>
      <c r="AU449" s="5">
        <f t="shared" si="68"/>
        <v>0</v>
      </c>
    </row>
    <row r="450" spans="12:47" hidden="1" x14ac:dyDescent="0.25">
      <c r="L450" s="2" t="str">
        <f t="shared" si="77"/>
        <v/>
      </c>
      <c r="M450" s="45">
        <f t="shared" si="76"/>
        <v>35</v>
      </c>
      <c r="N450" s="36">
        <v>430</v>
      </c>
      <c r="O450" s="91">
        <f t="shared" si="70"/>
        <v>0</v>
      </c>
      <c r="P450" s="38">
        <f t="shared" si="71"/>
        <v>0</v>
      </c>
      <c r="W450" s="26">
        <f t="shared" si="72"/>
        <v>0</v>
      </c>
      <c r="X450" s="5">
        <f t="shared" si="73"/>
        <v>0</v>
      </c>
      <c r="Y450" s="5"/>
      <c r="AA450" s="63">
        <f t="shared" si="74"/>
        <v>0</v>
      </c>
      <c r="AB450" s="5">
        <f t="shared" si="75"/>
        <v>0</v>
      </c>
      <c r="AP450" s="3">
        <v>437</v>
      </c>
      <c r="AR450" s="14">
        <f t="shared" si="69"/>
        <v>0</v>
      </c>
      <c r="AS450" s="17" t="e">
        <f>IF(OR(AS449=0,AS449&gt;=#REF!),0,FV($O$1,AP450,-#REF!,0,1))</f>
        <v>#REF!</v>
      </c>
      <c r="AU450" s="5">
        <f t="shared" si="68"/>
        <v>0</v>
      </c>
    </row>
    <row r="451" spans="12:47" hidden="1" x14ac:dyDescent="0.25">
      <c r="L451" s="2" t="str">
        <f t="shared" si="77"/>
        <v/>
      </c>
      <c r="M451" s="45">
        <f t="shared" si="76"/>
        <v>35</v>
      </c>
      <c r="N451" s="36">
        <v>431</v>
      </c>
      <c r="O451" s="91">
        <f t="shared" si="70"/>
        <v>0</v>
      </c>
      <c r="P451" s="38">
        <f t="shared" si="71"/>
        <v>0</v>
      </c>
      <c r="W451" s="26">
        <f t="shared" si="72"/>
        <v>0</v>
      </c>
      <c r="X451" s="5">
        <f t="shared" si="73"/>
        <v>0</v>
      </c>
      <c r="Y451" s="5"/>
      <c r="AA451" s="63">
        <f t="shared" si="74"/>
        <v>0</v>
      </c>
      <c r="AB451" s="5">
        <f t="shared" si="75"/>
        <v>0</v>
      </c>
      <c r="AP451" s="3">
        <v>438</v>
      </c>
      <c r="AR451" s="14">
        <f t="shared" si="69"/>
        <v>0</v>
      </c>
      <c r="AS451" s="17" t="e">
        <f>IF(OR(AS450=0,AS450&gt;=#REF!),0,FV($O$1,AP451,-#REF!,0,1))</f>
        <v>#REF!</v>
      </c>
      <c r="AU451" s="5">
        <f t="shared" si="68"/>
        <v>0</v>
      </c>
    </row>
    <row r="452" spans="12:47" hidden="1" x14ac:dyDescent="0.25">
      <c r="L452" s="2" t="str">
        <f t="shared" si="77"/>
        <v/>
      </c>
      <c r="M452" s="45">
        <f t="shared" si="76"/>
        <v>35</v>
      </c>
      <c r="N452" s="36">
        <v>432</v>
      </c>
      <c r="O452" s="91">
        <f t="shared" si="70"/>
        <v>0</v>
      </c>
      <c r="P452" s="38">
        <f t="shared" si="71"/>
        <v>0</v>
      </c>
      <c r="W452" s="26">
        <f t="shared" si="72"/>
        <v>0</v>
      </c>
      <c r="X452" s="5">
        <f t="shared" si="73"/>
        <v>0</v>
      </c>
      <c r="Y452" s="5"/>
      <c r="AA452" s="63">
        <f t="shared" si="74"/>
        <v>0</v>
      </c>
      <c r="AB452" s="5">
        <f t="shared" si="75"/>
        <v>0</v>
      </c>
      <c r="AP452" s="3">
        <v>439</v>
      </c>
      <c r="AR452" s="14">
        <f t="shared" si="69"/>
        <v>0</v>
      </c>
      <c r="AS452" s="17" t="e">
        <f>IF(OR(AS451=0,AS451&gt;=#REF!),0,FV($O$1,AP452,-#REF!,0,1))</f>
        <v>#REF!</v>
      </c>
      <c r="AU452" s="5">
        <f t="shared" si="68"/>
        <v>0</v>
      </c>
    </row>
    <row r="453" spans="12:47" hidden="1" x14ac:dyDescent="0.25">
      <c r="L453" s="2">
        <f t="shared" si="77"/>
        <v>3</v>
      </c>
      <c r="M453" s="45">
        <f t="shared" si="76"/>
        <v>36</v>
      </c>
      <c r="N453" s="36">
        <v>433</v>
      </c>
      <c r="O453" s="91">
        <f t="shared" si="70"/>
        <v>0</v>
      </c>
      <c r="P453" s="38">
        <f t="shared" si="71"/>
        <v>0</v>
      </c>
      <c r="W453" s="26">
        <f t="shared" si="72"/>
        <v>0</v>
      </c>
      <c r="X453" s="5">
        <f t="shared" si="73"/>
        <v>0</v>
      </c>
      <c r="Y453" s="5"/>
      <c r="AA453" s="63">
        <f t="shared" si="74"/>
        <v>0</v>
      </c>
      <c r="AB453" s="5">
        <f t="shared" si="75"/>
        <v>0</v>
      </c>
      <c r="AP453" s="3">
        <v>440</v>
      </c>
      <c r="AR453" s="14">
        <f t="shared" si="69"/>
        <v>0</v>
      </c>
      <c r="AS453" s="17" t="e">
        <f>IF(OR(AS452=0,AS452&gt;=#REF!),0,FV($O$1,AP453,-#REF!,0,1))</f>
        <v>#REF!</v>
      </c>
      <c r="AU453" s="5">
        <f t="shared" si="68"/>
        <v>0</v>
      </c>
    </row>
    <row r="454" spans="12:47" hidden="1" x14ac:dyDescent="0.25">
      <c r="L454" s="2">
        <f t="shared" si="77"/>
        <v>3</v>
      </c>
      <c r="M454" s="45">
        <f t="shared" si="76"/>
        <v>36</v>
      </c>
      <c r="N454" s="36">
        <v>434</v>
      </c>
      <c r="O454" s="91">
        <f t="shared" si="70"/>
        <v>0</v>
      </c>
      <c r="P454" s="38">
        <f t="shared" si="71"/>
        <v>0</v>
      </c>
      <c r="W454" s="26">
        <f t="shared" si="72"/>
        <v>0</v>
      </c>
      <c r="X454" s="5">
        <f t="shared" si="73"/>
        <v>0</v>
      </c>
      <c r="Y454" s="5"/>
      <c r="AA454" s="63">
        <f t="shared" si="74"/>
        <v>0</v>
      </c>
      <c r="AB454" s="5">
        <f t="shared" si="75"/>
        <v>0</v>
      </c>
      <c r="AP454" s="3">
        <v>441</v>
      </c>
      <c r="AR454" s="14">
        <f t="shared" si="69"/>
        <v>0</v>
      </c>
      <c r="AS454" s="17" t="e">
        <f>IF(OR(AS453=0,AS453&gt;=#REF!),0,FV($O$1,AP454,-#REF!,0,1))</f>
        <v>#REF!</v>
      </c>
      <c r="AU454" s="5">
        <f t="shared" si="68"/>
        <v>0</v>
      </c>
    </row>
    <row r="455" spans="12:47" hidden="1" x14ac:dyDescent="0.25">
      <c r="L455" s="2">
        <f t="shared" si="77"/>
        <v>3</v>
      </c>
      <c r="M455" s="45">
        <f t="shared" si="76"/>
        <v>36</v>
      </c>
      <c r="N455" s="36">
        <v>435</v>
      </c>
      <c r="O455" s="91">
        <f t="shared" si="70"/>
        <v>0</v>
      </c>
      <c r="P455" s="38">
        <f t="shared" si="71"/>
        <v>0</v>
      </c>
      <c r="W455" s="26">
        <f t="shared" si="72"/>
        <v>0</v>
      </c>
      <c r="X455" s="5">
        <f t="shared" si="73"/>
        <v>0</v>
      </c>
      <c r="Y455" s="5"/>
      <c r="AA455" s="63">
        <f t="shared" si="74"/>
        <v>0</v>
      </c>
      <c r="AB455" s="5">
        <f t="shared" si="75"/>
        <v>0</v>
      </c>
      <c r="AP455" s="3">
        <v>442</v>
      </c>
      <c r="AR455" s="14">
        <f t="shared" si="69"/>
        <v>0</v>
      </c>
      <c r="AS455" s="17" t="e">
        <f>IF(OR(AS454=0,AS454&gt;=#REF!),0,FV($O$1,AP455,-#REF!,0,1))</f>
        <v>#REF!</v>
      </c>
      <c r="AU455" s="5">
        <f t="shared" si="68"/>
        <v>0</v>
      </c>
    </row>
    <row r="456" spans="12:47" hidden="1" x14ac:dyDescent="0.25">
      <c r="L456" s="2">
        <f t="shared" si="77"/>
        <v>3</v>
      </c>
      <c r="M456" s="45">
        <f t="shared" si="76"/>
        <v>36</v>
      </c>
      <c r="N456" s="36">
        <v>436</v>
      </c>
      <c r="O456" s="91">
        <f t="shared" si="70"/>
        <v>0</v>
      </c>
      <c r="P456" s="38">
        <f t="shared" si="71"/>
        <v>0</v>
      </c>
      <c r="W456" s="26">
        <f t="shared" si="72"/>
        <v>0</v>
      </c>
      <c r="X456" s="5">
        <f t="shared" si="73"/>
        <v>0</v>
      </c>
      <c r="Y456" s="5"/>
      <c r="AA456" s="63">
        <f t="shared" si="74"/>
        <v>0</v>
      </c>
      <c r="AB456" s="5">
        <f t="shared" si="75"/>
        <v>0</v>
      </c>
      <c r="AP456" s="3">
        <v>443</v>
      </c>
      <c r="AR456" s="14">
        <f t="shared" si="69"/>
        <v>0</v>
      </c>
      <c r="AS456" s="17" t="e">
        <f>IF(OR(AS455=0,AS455&gt;=#REF!),0,FV($O$1,AP456,-#REF!,0,1))</f>
        <v>#REF!</v>
      </c>
      <c r="AU456" s="5">
        <f t="shared" si="68"/>
        <v>0</v>
      </c>
    </row>
    <row r="457" spans="12:47" hidden="1" x14ac:dyDescent="0.25">
      <c r="L457" s="2">
        <f t="shared" si="77"/>
        <v>3</v>
      </c>
      <c r="M457" s="45">
        <f t="shared" si="76"/>
        <v>36</v>
      </c>
      <c r="N457" s="36">
        <v>437</v>
      </c>
      <c r="O457" s="91">
        <f t="shared" si="70"/>
        <v>0</v>
      </c>
      <c r="P457" s="38">
        <f t="shared" si="71"/>
        <v>0</v>
      </c>
      <c r="W457" s="26">
        <f t="shared" si="72"/>
        <v>0</v>
      </c>
      <c r="X457" s="5">
        <f t="shared" si="73"/>
        <v>0</v>
      </c>
      <c r="Y457" s="5"/>
      <c r="AA457" s="63">
        <f t="shared" si="74"/>
        <v>0</v>
      </c>
      <c r="AB457" s="5">
        <f t="shared" si="75"/>
        <v>0</v>
      </c>
      <c r="AP457" s="3">
        <v>444</v>
      </c>
      <c r="AR457" s="14">
        <f t="shared" si="69"/>
        <v>0</v>
      </c>
      <c r="AS457" s="17" t="e">
        <f>IF(OR(AS456=0,AS456&gt;=#REF!),0,FV($O$1,AP457,-#REF!,0,1))</f>
        <v>#REF!</v>
      </c>
      <c r="AU457" s="5">
        <f t="shared" si="68"/>
        <v>0</v>
      </c>
    </row>
    <row r="458" spans="12:47" hidden="1" x14ac:dyDescent="0.25">
      <c r="L458" s="2">
        <f t="shared" si="77"/>
        <v>3</v>
      </c>
      <c r="M458" s="45">
        <f t="shared" si="76"/>
        <v>36</v>
      </c>
      <c r="N458" s="36">
        <v>438</v>
      </c>
      <c r="O458" s="91">
        <f t="shared" si="70"/>
        <v>0</v>
      </c>
      <c r="P458" s="38">
        <f t="shared" si="71"/>
        <v>0</v>
      </c>
      <c r="W458" s="26">
        <f t="shared" si="72"/>
        <v>0</v>
      </c>
      <c r="X458" s="5">
        <f t="shared" si="73"/>
        <v>0</v>
      </c>
      <c r="Y458" s="5"/>
      <c r="AA458" s="63">
        <f t="shared" si="74"/>
        <v>0</v>
      </c>
      <c r="AB458" s="5">
        <f t="shared" si="75"/>
        <v>0</v>
      </c>
      <c r="AP458" s="3">
        <v>445</v>
      </c>
      <c r="AR458" s="14">
        <f t="shared" si="69"/>
        <v>0</v>
      </c>
      <c r="AS458" s="17" t="e">
        <f>IF(OR(AS457=0,AS457&gt;=#REF!),0,FV($O$1,AP458,-#REF!,0,1))</f>
        <v>#REF!</v>
      </c>
      <c r="AU458" s="5">
        <f t="shared" si="68"/>
        <v>0</v>
      </c>
    </row>
    <row r="459" spans="12:47" hidden="1" x14ac:dyDescent="0.25">
      <c r="L459" s="2">
        <f t="shared" si="77"/>
        <v>3</v>
      </c>
      <c r="M459" s="45">
        <f t="shared" si="76"/>
        <v>36</v>
      </c>
      <c r="N459" s="36">
        <v>439</v>
      </c>
      <c r="O459" s="91">
        <f t="shared" si="70"/>
        <v>0</v>
      </c>
      <c r="P459" s="38">
        <f t="shared" si="71"/>
        <v>0</v>
      </c>
      <c r="W459" s="26">
        <f t="shared" si="72"/>
        <v>0</v>
      </c>
      <c r="X459" s="5">
        <f t="shared" si="73"/>
        <v>0</v>
      </c>
      <c r="Y459" s="5"/>
      <c r="AA459" s="63">
        <f t="shared" si="74"/>
        <v>0</v>
      </c>
      <c r="AB459" s="5">
        <f t="shared" si="75"/>
        <v>0</v>
      </c>
      <c r="AP459" s="3">
        <v>446</v>
      </c>
      <c r="AR459" s="14">
        <f t="shared" si="69"/>
        <v>0</v>
      </c>
      <c r="AS459" s="17" t="e">
        <f>IF(OR(AS458=0,AS458&gt;=#REF!),0,FV($O$1,AP459,-#REF!,0,1))</f>
        <v>#REF!</v>
      </c>
      <c r="AU459" s="5">
        <f t="shared" si="68"/>
        <v>0</v>
      </c>
    </row>
    <row r="460" spans="12:47" hidden="1" x14ac:dyDescent="0.25">
      <c r="L460" s="2">
        <f t="shared" si="77"/>
        <v>3</v>
      </c>
      <c r="M460" s="45">
        <f t="shared" si="76"/>
        <v>36</v>
      </c>
      <c r="N460" s="36">
        <v>440</v>
      </c>
      <c r="O460" s="91">
        <f t="shared" si="70"/>
        <v>0</v>
      </c>
      <c r="P460" s="38">
        <f t="shared" si="71"/>
        <v>0</v>
      </c>
      <c r="W460" s="26">
        <f t="shared" si="72"/>
        <v>0</v>
      </c>
      <c r="X460" s="5">
        <f t="shared" si="73"/>
        <v>0</v>
      </c>
      <c r="Y460" s="5"/>
      <c r="AA460" s="63">
        <f t="shared" si="74"/>
        <v>0</v>
      </c>
      <c r="AB460" s="5">
        <f t="shared" si="75"/>
        <v>0</v>
      </c>
      <c r="AP460" s="3">
        <v>447</v>
      </c>
      <c r="AR460" s="14">
        <f t="shared" si="69"/>
        <v>0</v>
      </c>
      <c r="AS460" s="17" t="e">
        <f>IF(OR(AS459=0,AS459&gt;=#REF!),0,FV($O$1,AP460,-#REF!,0,1))</f>
        <v>#REF!</v>
      </c>
      <c r="AU460" s="5">
        <f t="shared" si="68"/>
        <v>0</v>
      </c>
    </row>
    <row r="461" spans="12:47" hidden="1" x14ac:dyDescent="0.25">
      <c r="L461" s="2">
        <f t="shared" si="77"/>
        <v>3</v>
      </c>
      <c r="M461" s="45">
        <f t="shared" si="76"/>
        <v>36</v>
      </c>
      <c r="N461" s="36">
        <v>441</v>
      </c>
      <c r="O461" s="91">
        <f t="shared" si="70"/>
        <v>0</v>
      </c>
      <c r="P461" s="38">
        <f t="shared" si="71"/>
        <v>0</v>
      </c>
      <c r="W461" s="26">
        <f t="shared" si="72"/>
        <v>0</v>
      </c>
      <c r="X461" s="5">
        <f t="shared" si="73"/>
        <v>0</v>
      </c>
      <c r="Y461" s="5"/>
      <c r="AA461" s="63">
        <f t="shared" si="74"/>
        <v>0</v>
      </c>
      <c r="AB461" s="5">
        <f t="shared" si="75"/>
        <v>0</v>
      </c>
      <c r="AP461" s="3">
        <v>448</v>
      </c>
      <c r="AR461" s="14">
        <f t="shared" si="69"/>
        <v>0</v>
      </c>
      <c r="AS461" s="17" t="e">
        <f>IF(OR(AS460=0,AS460&gt;=#REF!),0,FV($O$1,AP461,-#REF!,0,1))</f>
        <v>#REF!</v>
      </c>
      <c r="AU461" s="5">
        <f t="shared" si="68"/>
        <v>0</v>
      </c>
    </row>
    <row r="462" spans="12:47" hidden="1" x14ac:dyDescent="0.25">
      <c r="L462" s="2">
        <f t="shared" si="77"/>
        <v>3</v>
      </c>
      <c r="M462" s="45">
        <f t="shared" si="76"/>
        <v>36</v>
      </c>
      <c r="N462" s="36">
        <v>442</v>
      </c>
      <c r="O462" s="91">
        <f t="shared" si="70"/>
        <v>0</v>
      </c>
      <c r="P462" s="38">
        <f t="shared" si="71"/>
        <v>0</v>
      </c>
      <c r="W462" s="26">
        <f t="shared" si="72"/>
        <v>0</v>
      </c>
      <c r="X462" s="5">
        <f t="shared" si="73"/>
        <v>0</v>
      </c>
      <c r="Y462" s="5"/>
      <c r="AA462" s="63">
        <f t="shared" si="74"/>
        <v>0</v>
      </c>
      <c r="AB462" s="5">
        <f t="shared" si="75"/>
        <v>0</v>
      </c>
      <c r="AP462" s="3">
        <v>449</v>
      </c>
      <c r="AR462" s="14">
        <f t="shared" si="69"/>
        <v>0</v>
      </c>
      <c r="AS462" s="17" t="e">
        <f>IF(OR(AS461=0,AS461&gt;=#REF!),0,FV($O$1,AP462,-#REF!,0,1))</f>
        <v>#REF!</v>
      </c>
      <c r="AU462" s="5">
        <f t="shared" si="68"/>
        <v>0</v>
      </c>
    </row>
    <row r="463" spans="12:47" hidden="1" x14ac:dyDescent="0.25">
      <c r="L463" s="2">
        <f t="shared" si="77"/>
        <v>3</v>
      </c>
      <c r="M463" s="45">
        <f t="shared" si="76"/>
        <v>36</v>
      </c>
      <c r="N463" s="36">
        <v>443</v>
      </c>
      <c r="O463" s="91">
        <f t="shared" si="70"/>
        <v>0</v>
      </c>
      <c r="P463" s="38">
        <f t="shared" si="71"/>
        <v>0</v>
      </c>
      <c r="W463" s="26">
        <f t="shared" si="72"/>
        <v>0</v>
      </c>
      <c r="X463" s="5">
        <f t="shared" si="73"/>
        <v>0</v>
      </c>
      <c r="Y463" s="5"/>
      <c r="AA463" s="63">
        <f t="shared" si="74"/>
        <v>0</v>
      </c>
      <c r="AB463" s="5">
        <f t="shared" si="75"/>
        <v>0</v>
      </c>
      <c r="AP463" s="3">
        <v>450</v>
      </c>
      <c r="AR463" s="14">
        <f t="shared" si="69"/>
        <v>0</v>
      </c>
      <c r="AS463" s="17" t="e">
        <f>IF(OR(AS462=0,AS462&gt;=#REF!),0,FV($O$1,AP463,-#REF!,0,1))</f>
        <v>#REF!</v>
      </c>
      <c r="AU463" s="5">
        <f t="shared" ref="AU463:AU526" si="78">X470</f>
        <v>0</v>
      </c>
    </row>
    <row r="464" spans="12:47" hidden="1" x14ac:dyDescent="0.25">
      <c r="L464" s="2">
        <f t="shared" si="77"/>
        <v>3</v>
      </c>
      <c r="M464" s="45">
        <f t="shared" si="76"/>
        <v>36</v>
      </c>
      <c r="N464" s="36">
        <v>444</v>
      </c>
      <c r="O464" s="91">
        <f t="shared" si="70"/>
        <v>0</v>
      </c>
      <c r="P464" s="38">
        <f t="shared" si="71"/>
        <v>0</v>
      </c>
      <c r="W464" s="26">
        <f t="shared" si="72"/>
        <v>0</v>
      </c>
      <c r="X464" s="5">
        <f t="shared" si="73"/>
        <v>0</v>
      </c>
      <c r="Y464" s="5"/>
      <c r="AA464" s="63">
        <f t="shared" si="74"/>
        <v>0</v>
      </c>
      <c r="AB464" s="5">
        <f t="shared" si="75"/>
        <v>0</v>
      </c>
      <c r="AP464" s="3">
        <v>451</v>
      </c>
      <c r="AR464" s="14">
        <f t="shared" si="69"/>
        <v>0</v>
      </c>
      <c r="AS464" s="17" t="e">
        <f>IF(OR(AS463=0,AS463&gt;=#REF!),0,FV($O$1,AP464,-#REF!,0,1))</f>
        <v>#REF!</v>
      </c>
      <c r="AU464" s="5">
        <f t="shared" si="78"/>
        <v>0</v>
      </c>
    </row>
    <row r="465" spans="12:47" hidden="1" x14ac:dyDescent="0.25">
      <c r="L465" s="2" t="str">
        <f t="shared" si="77"/>
        <v/>
      </c>
      <c r="M465" s="45">
        <f t="shared" si="76"/>
        <v>37</v>
      </c>
      <c r="N465" s="36">
        <v>445</v>
      </c>
      <c r="O465" s="91">
        <f t="shared" si="70"/>
        <v>0</v>
      </c>
      <c r="P465" s="38">
        <f t="shared" si="71"/>
        <v>0</v>
      </c>
      <c r="W465" s="26">
        <f t="shared" si="72"/>
        <v>0</v>
      </c>
      <c r="X465" s="5">
        <f t="shared" si="73"/>
        <v>0</v>
      </c>
      <c r="Y465" s="5"/>
      <c r="AA465" s="63">
        <f t="shared" si="74"/>
        <v>0</v>
      </c>
      <c r="AB465" s="5">
        <f t="shared" si="75"/>
        <v>0</v>
      </c>
      <c r="AP465" s="3">
        <v>452</v>
      </c>
      <c r="AR465" s="14">
        <f t="shared" si="69"/>
        <v>0</v>
      </c>
      <c r="AS465" s="17" t="e">
        <f>IF(OR(AS464=0,AS464&gt;=#REF!),0,FV($O$1,AP465,-#REF!,0,1))</f>
        <v>#REF!</v>
      </c>
      <c r="AU465" s="5">
        <f t="shared" si="78"/>
        <v>0</v>
      </c>
    </row>
    <row r="466" spans="12:47" hidden="1" x14ac:dyDescent="0.25">
      <c r="L466" s="2" t="str">
        <f t="shared" si="77"/>
        <v/>
      </c>
      <c r="M466" s="45">
        <f t="shared" si="76"/>
        <v>37</v>
      </c>
      <c r="N466" s="36">
        <v>446</v>
      </c>
      <c r="O466" s="91">
        <f t="shared" si="70"/>
        <v>0</v>
      </c>
      <c r="P466" s="38">
        <f t="shared" si="71"/>
        <v>0</v>
      </c>
      <c r="W466" s="26">
        <f t="shared" si="72"/>
        <v>0</v>
      </c>
      <c r="X466" s="5">
        <f t="shared" si="73"/>
        <v>0</v>
      </c>
      <c r="Y466" s="5"/>
      <c r="AA466" s="63">
        <f t="shared" si="74"/>
        <v>0</v>
      </c>
      <c r="AB466" s="5">
        <f t="shared" si="75"/>
        <v>0</v>
      </c>
      <c r="AP466" s="3">
        <v>453</v>
      </c>
      <c r="AR466" s="14">
        <f t="shared" ref="AR466:AR529" si="79">IF(AP466&lt;=$X$3,FV($O$1,AP466,-$X$5,0,1),0)</f>
        <v>0</v>
      </c>
      <c r="AS466" s="17" t="e">
        <f>IF(OR(AS465=0,AS465&gt;=#REF!),0,FV($O$1,AP466,-#REF!,0,1))</f>
        <v>#REF!</v>
      </c>
      <c r="AU466" s="5">
        <f t="shared" si="78"/>
        <v>0</v>
      </c>
    </row>
    <row r="467" spans="12:47" hidden="1" x14ac:dyDescent="0.25">
      <c r="L467" s="2" t="str">
        <f t="shared" si="77"/>
        <v/>
      </c>
      <c r="M467" s="45">
        <f t="shared" si="76"/>
        <v>37</v>
      </c>
      <c r="N467" s="36">
        <v>447</v>
      </c>
      <c r="O467" s="91">
        <f t="shared" si="70"/>
        <v>0</v>
      </c>
      <c r="P467" s="38">
        <f t="shared" si="71"/>
        <v>0</v>
      </c>
      <c r="W467" s="26">
        <f t="shared" si="72"/>
        <v>0</v>
      </c>
      <c r="X467" s="5">
        <f t="shared" si="73"/>
        <v>0</v>
      </c>
      <c r="Y467" s="5"/>
      <c r="AA467" s="63">
        <f t="shared" si="74"/>
        <v>0</v>
      </c>
      <c r="AB467" s="5">
        <f t="shared" si="75"/>
        <v>0</v>
      </c>
      <c r="AP467" s="3">
        <v>454</v>
      </c>
      <c r="AR467" s="14">
        <f t="shared" si="79"/>
        <v>0</v>
      </c>
      <c r="AS467" s="17" t="e">
        <f>IF(OR(AS466=0,AS466&gt;=#REF!),0,FV($O$1,AP467,-#REF!,0,1))</f>
        <v>#REF!</v>
      </c>
      <c r="AU467" s="5">
        <f t="shared" si="78"/>
        <v>0</v>
      </c>
    </row>
    <row r="468" spans="12:47" hidden="1" x14ac:dyDescent="0.25">
      <c r="L468" s="2" t="str">
        <f t="shared" si="77"/>
        <v/>
      </c>
      <c r="M468" s="45">
        <f t="shared" si="76"/>
        <v>37</v>
      </c>
      <c r="N468" s="36">
        <v>448</v>
      </c>
      <c r="O468" s="91">
        <f t="shared" si="70"/>
        <v>0</v>
      </c>
      <c r="P468" s="38">
        <f t="shared" si="71"/>
        <v>0</v>
      </c>
      <c r="W468" s="26">
        <f t="shared" si="72"/>
        <v>0</v>
      </c>
      <c r="X468" s="5">
        <f t="shared" si="73"/>
        <v>0</v>
      </c>
      <c r="Y468" s="5"/>
      <c r="AA468" s="63">
        <f t="shared" si="74"/>
        <v>0</v>
      </c>
      <c r="AB468" s="5">
        <f t="shared" si="75"/>
        <v>0</v>
      </c>
      <c r="AP468" s="3">
        <v>455</v>
      </c>
      <c r="AR468" s="14">
        <f t="shared" si="79"/>
        <v>0</v>
      </c>
      <c r="AS468" s="17" t="e">
        <f>IF(OR(AS467=0,AS467&gt;=#REF!),0,FV($O$1,AP468,-#REF!,0,1))</f>
        <v>#REF!</v>
      </c>
      <c r="AU468" s="5">
        <f t="shared" si="78"/>
        <v>0</v>
      </c>
    </row>
    <row r="469" spans="12:47" hidden="1" x14ac:dyDescent="0.25">
      <c r="L469" s="2" t="str">
        <f t="shared" si="77"/>
        <v/>
      </c>
      <c r="M469" s="45">
        <f t="shared" si="76"/>
        <v>37</v>
      </c>
      <c r="N469" s="36">
        <v>449</v>
      </c>
      <c r="O469" s="91">
        <f t="shared" ref="O469:O532" si="80">IF(N469&lt;=InvMonths,SU_Amt*(1+GRate)^M469,0)</f>
        <v>0</v>
      </c>
      <c r="P469" s="38">
        <f t="shared" ref="P469:P532" si="81">FV(SIPRate,InvMonths-N469+1,0,-O469,1)</f>
        <v>0</v>
      </c>
      <c r="W469" s="26">
        <f t="shared" ref="W469:W532" si="82">IF(N469&lt;=InvMonths,$X$18,0)</f>
        <v>0</v>
      </c>
      <c r="X469" s="5">
        <f t="shared" ref="X469:X532" si="83">FV(SIPRate,(InvMonths-N469+1),0,-W469,1)</f>
        <v>0</v>
      </c>
      <c r="Y469" s="5"/>
      <c r="AA469" s="63">
        <f t="shared" ref="AA469:AA532" si="84">IF(N469&lt;=InvMonths,$AB$18*(1+$C$32)^M469,0)</f>
        <v>0</v>
      </c>
      <c r="AB469" s="5">
        <f t="shared" ref="AB469:AB532" si="85">FV(SIPRate,(InvMonths-N469+1),0,-AA469,1)</f>
        <v>0</v>
      </c>
      <c r="AP469" s="3">
        <v>456</v>
      </c>
      <c r="AR469" s="14">
        <f t="shared" si="79"/>
        <v>0</v>
      </c>
      <c r="AS469" s="17" t="e">
        <f>IF(OR(AS468=0,AS468&gt;=#REF!),0,FV($O$1,AP469,-#REF!,0,1))</f>
        <v>#REF!</v>
      </c>
      <c r="AU469" s="5">
        <f t="shared" si="78"/>
        <v>0</v>
      </c>
    </row>
    <row r="470" spans="12:47" hidden="1" x14ac:dyDescent="0.25">
      <c r="L470" s="2" t="str">
        <f t="shared" si="77"/>
        <v/>
      </c>
      <c r="M470" s="45">
        <f t="shared" ref="M470:M533" si="86">IF(MOD(N470,12)=0,(N470/12)-1,QUOTIENT(N470,12))</f>
        <v>37</v>
      </c>
      <c r="N470" s="36">
        <v>450</v>
      </c>
      <c r="O470" s="91">
        <f t="shared" si="80"/>
        <v>0</v>
      </c>
      <c r="P470" s="38">
        <f t="shared" si="81"/>
        <v>0</v>
      </c>
      <c r="W470" s="26">
        <f t="shared" si="82"/>
        <v>0</v>
      </c>
      <c r="X470" s="5">
        <f t="shared" si="83"/>
        <v>0</v>
      </c>
      <c r="Y470" s="5"/>
      <c r="AA470" s="63">
        <f t="shared" si="84"/>
        <v>0</v>
      </c>
      <c r="AB470" s="5">
        <f t="shared" si="85"/>
        <v>0</v>
      </c>
      <c r="AP470" s="3">
        <v>457</v>
      </c>
      <c r="AR470" s="14">
        <f t="shared" si="79"/>
        <v>0</v>
      </c>
      <c r="AS470" s="17" t="e">
        <f>IF(OR(AS469=0,AS469&gt;=#REF!),0,FV($O$1,AP470,-#REF!,0,1))</f>
        <v>#REF!</v>
      </c>
      <c r="AU470" s="5">
        <f t="shared" si="78"/>
        <v>0</v>
      </c>
    </row>
    <row r="471" spans="12:47" hidden="1" x14ac:dyDescent="0.25">
      <c r="L471" s="2" t="str">
        <f t="shared" si="77"/>
        <v/>
      </c>
      <c r="M471" s="45">
        <f t="shared" si="86"/>
        <v>37</v>
      </c>
      <c r="N471" s="36">
        <v>451</v>
      </c>
      <c r="O471" s="91">
        <f t="shared" si="80"/>
        <v>0</v>
      </c>
      <c r="P471" s="38">
        <f t="shared" si="81"/>
        <v>0</v>
      </c>
      <c r="W471" s="26">
        <f t="shared" si="82"/>
        <v>0</v>
      </c>
      <c r="X471" s="5">
        <f t="shared" si="83"/>
        <v>0</v>
      </c>
      <c r="Y471" s="5"/>
      <c r="AA471" s="63">
        <f t="shared" si="84"/>
        <v>0</v>
      </c>
      <c r="AB471" s="5">
        <f t="shared" si="85"/>
        <v>0</v>
      </c>
      <c r="AP471" s="3">
        <v>458</v>
      </c>
      <c r="AR471" s="14">
        <f t="shared" si="79"/>
        <v>0</v>
      </c>
      <c r="AS471" s="17" t="e">
        <f>IF(OR(AS470=0,AS470&gt;=#REF!),0,FV($O$1,AP471,-#REF!,0,1))</f>
        <v>#REF!</v>
      </c>
      <c r="AU471" s="5">
        <f t="shared" si="78"/>
        <v>0</v>
      </c>
    </row>
    <row r="472" spans="12:47" hidden="1" x14ac:dyDescent="0.25">
      <c r="L472" s="2" t="str">
        <f t="shared" si="77"/>
        <v/>
      </c>
      <c r="M472" s="45">
        <f t="shared" si="86"/>
        <v>37</v>
      </c>
      <c r="N472" s="36">
        <v>452</v>
      </c>
      <c r="O472" s="91">
        <f t="shared" si="80"/>
        <v>0</v>
      </c>
      <c r="P472" s="38">
        <f t="shared" si="81"/>
        <v>0</v>
      </c>
      <c r="W472" s="26">
        <f t="shared" si="82"/>
        <v>0</v>
      </c>
      <c r="X472" s="5">
        <f t="shared" si="83"/>
        <v>0</v>
      </c>
      <c r="Y472" s="5"/>
      <c r="AA472" s="63">
        <f t="shared" si="84"/>
        <v>0</v>
      </c>
      <c r="AB472" s="5">
        <f t="shared" si="85"/>
        <v>0</v>
      </c>
      <c r="AP472" s="3">
        <v>459</v>
      </c>
      <c r="AR472" s="14">
        <f t="shared" si="79"/>
        <v>0</v>
      </c>
      <c r="AS472" s="17" t="e">
        <f>IF(OR(AS471=0,AS471&gt;=#REF!),0,FV($O$1,AP472,-#REF!,0,1))</f>
        <v>#REF!</v>
      </c>
      <c r="AU472" s="5">
        <f t="shared" si="78"/>
        <v>0</v>
      </c>
    </row>
    <row r="473" spans="12:47" hidden="1" x14ac:dyDescent="0.25">
      <c r="L473" s="2" t="str">
        <f t="shared" si="77"/>
        <v/>
      </c>
      <c r="M473" s="45">
        <f t="shared" si="86"/>
        <v>37</v>
      </c>
      <c r="N473" s="36">
        <v>453</v>
      </c>
      <c r="O473" s="91">
        <f t="shared" si="80"/>
        <v>0</v>
      </c>
      <c r="P473" s="38">
        <f t="shared" si="81"/>
        <v>0</v>
      </c>
      <c r="W473" s="26">
        <f t="shared" si="82"/>
        <v>0</v>
      </c>
      <c r="X473" s="5">
        <f t="shared" si="83"/>
        <v>0</v>
      </c>
      <c r="Y473" s="5"/>
      <c r="AA473" s="63">
        <f t="shared" si="84"/>
        <v>0</v>
      </c>
      <c r="AB473" s="5">
        <f t="shared" si="85"/>
        <v>0</v>
      </c>
      <c r="AP473" s="3">
        <v>460</v>
      </c>
      <c r="AR473" s="14">
        <f t="shared" si="79"/>
        <v>0</v>
      </c>
      <c r="AS473" s="17" t="e">
        <f>IF(OR(AS472=0,AS472&gt;=#REF!),0,FV($O$1,AP473,-#REF!,0,1))</f>
        <v>#REF!</v>
      </c>
      <c r="AU473" s="5">
        <f t="shared" si="78"/>
        <v>0</v>
      </c>
    </row>
    <row r="474" spans="12:47" hidden="1" x14ac:dyDescent="0.25">
      <c r="L474" s="2" t="str">
        <f t="shared" si="77"/>
        <v/>
      </c>
      <c r="M474" s="45">
        <f t="shared" si="86"/>
        <v>37</v>
      </c>
      <c r="N474" s="36">
        <v>454</v>
      </c>
      <c r="O474" s="91">
        <f t="shared" si="80"/>
        <v>0</v>
      </c>
      <c r="P474" s="38">
        <f t="shared" si="81"/>
        <v>0</v>
      </c>
      <c r="W474" s="26">
        <f t="shared" si="82"/>
        <v>0</v>
      </c>
      <c r="X474" s="5">
        <f t="shared" si="83"/>
        <v>0</v>
      </c>
      <c r="Y474" s="5"/>
      <c r="AA474" s="63">
        <f t="shared" si="84"/>
        <v>0</v>
      </c>
      <c r="AB474" s="5">
        <f t="shared" si="85"/>
        <v>0</v>
      </c>
      <c r="AP474" s="3">
        <v>461</v>
      </c>
      <c r="AR474" s="14">
        <f t="shared" si="79"/>
        <v>0</v>
      </c>
      <c r="AS474" s="17" t="e">
        <f>IF(OR(AS473=0,AS473&gt;=#REF!),0,FV($O$1,AP474,-#REF!,0,1))</f>
        <v>#REF!</v>
      </c>
      <c r="AU474" s="5">
        <f t="shared" si="78"/>
        <v>0</v>
      </c>
    </row>
    <row r="475" spans="12:47" hidden="1" x14ac:dyDescent="0.25">
      <c r="L475" s="2" t="str">
        <f t="shared" si="77"/>
        <v/>
      </c>
      <c r="M475" s="45">
        <f t="shared" si="86"/>
        <v>37</v>
      </c>
      <c r="N475" s="36">
        <v>455</v>
      </c>
      <c r="O475" s="91">
        <f t="shared" si="80"/>
        <v>0</v>
      </c>
      <c r="P475" s="38">
        <f t="shared" si="81"/>
        <v>0</v>
      </c>
      <c r="W475" s="26">
        <f t="shared" si="82"/>
        <v>0</v>
      </c>
      <c r="X475" s="5">
        <f t="shared" si="83"/>
        <v>0</v>
      </c>
      <c r="Y475" s="5"/>
      <c r="AA475" s="63">
        <f t="shared" si="84"/>
        <v>0</v>
      </c>
      <c r="AB475" s="5">
        <f t="shared" si="85"/>
        <v>0</v>
      </c>
      <c r="AP475" s="3">
        <v>462</v>
      </c>
      <c r="AR475" s="14">
        <f t="shared" si="79"/>
        <v>0</v>
      </c>
      <c r="AS475" s="17" t="e">
        <f>IF(OR(AS474=0,AS474&gt;=#REF!),0,FV($O$1,AP475,-#REF!,0,1))</f>
        <v>#REF!</v>
      </c>
      <c r="AU475" s="5">
        <f t="shared" si="78"/>
        <v>0</v>
      </c>
    </row>
    <row r="476" spans="12:47" hidden="1" x14ac:dyDescent="0.25">
      <c r="L476" s="2" t="str">
        <f t="shared" si="77"/>
        <v/>
      </c>
      <c r="M476" s="45">
        <f t="shared" si="86"/>
        <v>37</v>
      </c>
      <c r="N476" s="36">
        <v>456</v>
      </c>
      <c r="O476" s="91">
        <f t="shared" si="80"/>
        <v>0</v>
      </c>
      <c r="P476" s="38">
        <f t="shared" si="81"/>
        <v>0</v>
      </c>
      <c r="W476" s="26">
        <f t="shared" si="82"/>
        <v>0</v>
      </c>
      <c r="X476" s="5">
        <f t="shared" si="83"/>
        <v>0</v>
      </c>
      <c r="Y476" s="5"/>
      <c r="AA476" s="63">
        <f t="shared" si="84"/>
        <v>0</v>
      </c>
      <c r="AB476" s="5">
        <f t="shared" si="85"/>
        <v>0</v>
      </c>
      <c r="AP476" s="3">
        <v>463</v>
      </c>
      <c r="AR476" s="14">
        <f t="shared" si="79"/>
        <v>0</v>
      </c>
      <c r="AS476" s="17" t="e">
        <f>IF(OR(AS475=0,AS475&gt;=#REF!),0,FV($O$1,AP476,-#REF!,0,1))</f>
        <v>#REF!</v>
      </c>
      <c r="AU476" s="5">
        <f t="shared" si="78"/>
        <v>0</v>
      </c>
    </row>
    <row r="477" spans="12:47" hidden="1" x14ac:dyDescent="0.25">
      <c r="L477" s="2" t="str">
        <f t="shared" si="77"/>
        <v/>
      </c>
      <c r="M477" s="45">
        <f t="shared" si="86"/>
        <v>38</v>
      </c>
      <c r="N477" s="36">
        <v>457</v>
      </c>
      <c r="O477" s="91">
        <f t="shared" si="80"/>
        <v>0</v>
      </c>
      <c r="P477" s="38">
        <f t="shared" si="81"/>
        <v>0</v>
      </c>
      <c r="W477" s="26">
        <f t="shared" si="82"/>
        <v>0</v>
      </c>
      <c r="X477" s="5">
        <f t="shared" si="83"/>
        <v>0</v>
      </c>
      <c r="Y477" s="5"/>
      <c r="AA477" s="63">
        <f t="shared" si="84"/>
        <v>0</v>
      </c>
      <c r="AB477" s="5">
        <f t="shared" si="85"/>
        <v>0</v>
      </c>
      <c r="AP477" s="3">
        <v>464</v>
      </c>
      <c r="AR477" s="14">
        <f t="shared" si="79"/>
        <v>0</v>
      </c>
      <c r="AS477" s="17" t="e">
        <f>IF(OR(AS476=0,AS476&gt;=#REF!),0,FV($O$1,AP477,-#REF!,0,1))</f>
        <v>#REF!</v>
      </c>
      <c r="AU477" s="5">
        <f t="shared" si="78"/>
        <v>0</v>
      </c>
    </row>
    <row r="478" spans="12:47" hidden="1" x14ac:dyDescent="0.25">
      <c r="L478" s="2" t="str">
        <f t="shared" ref="L478:L541" si="87">IF(MOD(M478,12)=0,M478/12,"")</f>
        <v/>
      </c>
      <c r="M478" s="45">
        <f t="shared" si="86"/>
        <v>38</v>
      </c>
      <c r="N478" s="36">
        <v>458</v>
      </c>
      <c r="O478" s="91">
        <f t="shared" si="80"/>
        <v>0</v>
      </c>
      <c r="P478" s="38">
        <f t="shared" si="81"/>
        <v>0</v>
      </c>
      <c r="W478" s="26">
        <f t="shared" si="82"/>
        <v>0</v>
      </c>
      <c r="X478" s="5">
        <f t="shared" si="83"/>
        <v>0</v>
      </c>
      <c r="Y478" s="5"/>
      <c r="AA478" s="63">
        <f t="shared" si="84"/>
        <v>0</v>
      </c>
      <c r="AB478" s="5">
        <f t="shared" si="85"/>
        <v>0</v>
      </c>
      <c r="AP478" s="3">
        <v>465</v>
      </c>
      <c r="AR478" s="14">
        <f t="shared" si="79"/>
        <v>0</v>
      </c>
      <c r="AS478" s="17" t="e">
        <f>IF(OR(AS477=0,AS477&gt;=#REF!),0,FV($O$1,AP478,-#REF!,0,1))</f>
        <v>#REF!</v>
      </c>
      <c r="AU478" s="5">
        <f t="shared" si="78"/>
        <v>0</v>
      </c>
    </row>
    <row r="479" spans="12:47" hidden="1" x14ac:dyDescent="0.25">
      <c r="L479" s="2" t="str">
        <f t="shared" si="87"/>
        <v/>
      </c>
      <c r="M479" s="45">
        <f t="shared" si="86"/>
        <v>38</v>
      </c>
      <c r="N479" s="36">
        <v>459</v>
      </c>
      <c r="O479" s="91">
        <f t="shared" si="80"/>
        <v>0</v>
      </c>
      <c r="P479" s="38">
        <f t="shared" si="81"/>
        <v>0</v>
      </c>
      <c r="W479" s="26">
        <f t="shared" si="82"/>
        <v>0</v>
      </c>
      <c r="X479" s="5">
        <f t="shared" si="83"/>
        <v>0</v>
      </c>
      <c r="Y479" s="5"/>
      <c r="AA479" s="63">
        <f t="shared" si="84"/>
        <v>0</v>
      </c>
      <c r="AB479" s="5">
        <f t="shared" si="85"/>
        <v>0</v>
      </c>
      <c r="AP479" s="3">
        <v>466</v>
      </c>
      <c r="AR479" s="14">
        <f t="shared" si="79"/>
        <v>0</v>
      </c>
      <c r="AS479" s="17" t="e">
        <f>IF(OR(AS478=0,AS478&gt;=#REF!),0,FV($O$1,AP479,-#REF!,0,1))</f>
        <v>#REF!</v>
      </c>
      <c r="AU479" s="5">
        <f t="shared" si="78"/>
        <v>0</v>
      </c>
    </row>
    <row r="480" spans="12:47" hidden="1" x14ac:dyDescent="0.25">
      <c r="L480" s="2" t="str">
        <f t="shared" si="87"/>
        <v/>
      </c>
      <c r="M480" s="45">
        <f t="shared" si="86"/>
        <v>38</v>
      </c>
      <c r="N480" s="36">
        <v>460</v>
      </c>
      <c r="O480" s="91">
        <f t="shared" si="80"/>
        <v>0</v>
      </c>
      <c r="P480" s="38">
        <f t="shared" si="81"/>
        <v>0</v>
      </c>
      <c r="W480" s="26">
        <f t="shared" si="82"/>
        <v>0</v>
      </c>
      <c r="X480" s="5">
        <f t="shared" si="83"/>
        <v>0</v>
      </c>
      <c r="Y480" s="5"/>
      <c r="AA480" s="63">
        <f t="shared" si="84"/>
        <v>0</v>
      </c>
      <c r="AB480" s="5">
        <f t="shared" si="85"/>
        <v>0</v>
      </c>
      <c r="AP480" s="3">
        <v>467</v>
      </c>
      <c r="AR480" s="14">
        <f t="shared" si="79"/>
        <v>0</v>
      </c>
      <c r="AS480" s="17" t="e">
        <f>IF(OR(AS479=0,AS479&gt;=#REF!),0,FV($O$1,AP480,-#REF!,0,1))</f>
        <v>#REF!</v>
      </c>
      <c r="AU480" s="5">
        <f t="shared" si="78"/>
        <v>0</v>
      </c>
    </row>
    <row r="481" spans="12:47" hidden="1" x14ac:dyDescent="0.25">
      <c r="L481" s="2" t="str">
        <f t="shared" si="87"/>
        <v/>
      </c>
      <c r="M481" s="45">
        <f t="shared" si="86"/>
        <v>38</v>
      </c>
      <c r="N481" s="36">
        <v>461</v>
      </c>
      <c r="O481" s="91">
        <f t="shared" si="80"/>
        <v>0</v>
      </c>
      <c r="P481" s="38">
        <f t="shared" si="81"/>
        <v>0</v>
      </c>
      <c r="W481" s="26">
        <f t="shared" si="82"/>
        <v>0</v>
      </c>
      <c r="X481" s="5">
        <f t="shared" si="83"/>
        <v>0</v>
      </c>
      <c r="Y481" s="5"/>
      <c r="AA481" s="63">
        <f t="shared" si="84"/>
        <v>0</v>
      </c>
      <c r="AB481" s="5">
        <f t="shared" si="85"/>
        <v>0</v>
      </c>
      <c r="AP481" s="3">
        <v>468</v>
      </c>
      <c r="AR481" s="14">
        <f t="shared" si="79"/>
        <v>0</v>
      </c>
      <c r="AS481" s="17" t="e">
        <f>IF(OR(AS480=0,AS480&gt;=#REF!),0,FV($O$1,AP481,-#REF!,0,1))</f>
        <v>#REF!</v>
      </c>
      <c r="AU481" s="5">
        <f t="shared" si="78"/>
        <v>0</v>
      </c>
    </row>
    <row r="482" spans="12:47" hidden="1" x14ac:dyDescent="0.25">
      <c r="L482" s="2" t="str">
        <f t="shared" si="87"/>
        <v/>
      </c>
      <c r="M482" s="45">
        <f t="shared" si="86"/>
        <v>38</v>
      </c>
      <c r="N482" s="36">
        <v>462</v>
      </c>
      <c r="O482" s="91">
        <f t="shared" si="80"/>
        <v>0</v>
      </c>
      <c r="P482" s="38">
        <f t="shared" si="81"/>
        <v>0</v>
      </c>
      <c r="W482" s="26">
        <f t="shared" si="82"/>
        <v>0</v>
      </c>
      <c r="X482" s="5">
        <f t="shared" si="83"/>
        <v>0</v>
      </c>
      <c r="Y482" s="5"/>
      <c r="AA482" s="63">
        <f t="shared" si="84"/>
        <v>0</v>
      </c>
      <c r="AB482" s="5">
        <f t="shared" si="85"/>
        <v>0</v>
      </c>
      <c r="AP482" s="3">
        <v>469</v>
      </c>
      <c r="AR482" s="14">
        <f t="shared" si="79"/>
        <v>0</v>
      </c>
      <c r="AS482" s="17" t="e">
        <f>IF(OR(AS481=0,AS481&gt;=#REF!),0,FV($O$1,AP482,-#REF!,0,1))</f>
        <v>#REF!</v>
      </c>
      <c r="AU482" s="5">
        <f t="shared" si="78"/>
        <v>0</v>
      </c>
    </row>
    <row r="483" spans="12:47" hidden="1" x14ac:dyDescent="0.25">
      <c r="L483" s="2" t="str">
        <f t="shared" si="87"/>
        <v/>
      </c>
      <c r="M483" s="45">
        <f t="shared" si="86"/>
        <v>38</v>
      </c>
      <c r="N483" s="36">
        <v>463</v>
      </c>
      <c r="O483" s="91">
        <f t="shared" si="80"/>
        <v>0</v>
      </c>
      <c r="P483" s="38">
        <f t="shared" si="81"/>
        <v>0</v>
      </c>
      <c r="W483" s="26">
        <f t="shared" si="82"/>
        <v>0</v>
      </c>
      <c r="X483" s="5">
        <f t="shared" si="83"/>
        <v>0</v>
      </c>
      <c r="Y483" s="5"/>
      <c r="AA483" s="63">
        <f t="shared" si="84"/>
        <v>0</v>
      </c>
      <c r="AB483" s="5">
        <f t="shared" si="85"/>
        <v>0</v>
      </c>
      <c r="AP483" s="3">
        <v>470</v>
      </c>
      <c r="AR483" s="14">
        <f t="shared" si="79"/>
        <v>0</v>
      </c>
      <c r="AS483" s="17" t="e">
        <f>IF(OR(AS482=0,AS482&gt;=#REF!),0,FV($O$1,AP483,-#REF!,0,1))</f>
        <v>#REF!</v>
      </c>
      <c r="AU483" s="5">
        <f t="shared" si="78"/>
        <v>0</v>
      </c>
    </row>
    <row r="484" spans="12:47" hidden="1" x14ac:dyDescent="0.25">
      <c r="L484" s="2" t="str">
        <f t="shared" si="87"/>
        <v/>
      </c>
      <c r="M484" s="45">
        <f t="shared" si="86"/>
        <v>38</v>
      </c>
      <c r="N484" s="36">
        <v>464</v>
      </c>
      <c r="O484" s="91">
        <f t="shared" si="80"/>
        <v>0</v>
      </c>
      <c r="P484" s="38">
        <f t="shared" si="81"/>
        <v>0</v>
      </c>
      <c r="W484" s="26">
        <f t="shared" si="82"/>
        <v>0</v>
      </c>
      <c r="X484" s="5">
        <f t="shared" si="83"/>
        <v>0</v>
      </c>
      <c r="Y484" s="5"/>
      <c r="AA484" s="63">
        <f t="shared" si="84"/>
        <v>0</v>
      </c>
      <c r="AB484" s="5">
        <f t="shared" si="85"/>
        <v>0</v>
      </c>
      <c r="AP484" s="3">
        <v>471</v>
      </c>
      <c r="AR484" s="14">
        <f t="shared" si="79"/>
        <v>0</v>
      </c>
      <c r="AS484" s="17" t="e">
        <f>IF(OR(AS483=0,AS483&gt;=#REF!),0,FV($O$1,AP484,-#REF!,0,1))</f>
        <v>#REF!</v>
      </c>
      <c r="AU484" s="5">
        <f t="shared" si="78"/>
        <v>0</v>
      </c>
    </row>
    <row r="485" spans="12:47" hidden="1" x14ac:dyDescent="0.25">
      <c r="L485" s="2" t="str">
        <f t="shared" si="87"/>
        <v/>
      </c>
      <c r="M485" s="45">
        <f t="shared" si="86"/>
        <v>38</v>
      </c>
      <c r="N485" s="36">
        <v>465</v>
      </c>
      <c r="O485" s="91">
        <f t="shared" si="80"/>
        <v>0</v>
      </c>
      <c r="P485" s="38">
        <f t="shared" si="81"/>
        <v>0</v>
      </c>
      <c r="W485" s="26">
        <f t="shared" si="82"/>
        <v>0</v>
      </c>
      <c r="X485" s="5">
        <f t="shared" si="83"/>
        <v>0</v>
      </c>
      <c r="Y485" s="5"/>
      <c r="AA485" s="63">
        <f t="shared" si="84"/>
        <v>0</v>
      </c>
      <c r="AB485" s="5">
        <f t="shared" si="85"/>
        <v>0</v>
      </c>
      <c r="AP485" s="3">
        <v>472</v>
      </c>
      <c r="AR485" s="14">
        <f t="shared" si="79"/>
        <v>0</v>
      </c>
      <c r="AS485" s="17" t="e">
        <f>IF(OR(AS484=0,AS484&gt;=#REF!),0,FV($O$1,AP485,-#REF!,0,1))</f>
        <v>#REF!</v>
      </c>
      <c r="AU485" s="5">
        <f t="shared" si="78"/>
        <v>0</v>
      </c>
    </row>
    <row r="486" spans="12:47" hidden="1" x14ac:dyDescent="0.25">
      <c r="L486" s="2" t="str">
        <f t="shared" si="87"/>
        <v/>
      </c>
      <c r="M486" s="45">
        <f t="shared" si="86"/>
        <v>38</v>
      </c>
      <c r="N486" s="36">
        <v>466</v>
      </c>
      <c r="O486" s="91">
        <f t="shared" si="80"/>
        <v>0</v>
      </c>
      <c r="P486" s="38">
        <f t="shared" si="81"/>
        <v>0</v>
      </c>
      <c r="W486" s="26">
        <f t="shared" si="82"/>
        <v>0</v>
      </c>
      <c r="X486" s="5">
        <f t="shared" si="83"/>
        <v>0</v>
      </c>
      <c r="Y486" s="5"/>
      <c r="AA486" s="63">
        <f t="shared" si="84"/>
        <v>0</v>
      </c>
      <c r="AB486" s="5">
        <f t="shared" si="85"/>
        <v>0</v>
      </c>
      <c r="AP486" s="3">
        <v>473</v>
      </c>
      <c r="AR486" s="14">
        <f t="shared" si="79"/>
        <v>0</v>
      </c>
      <c r="AS486" s="17" t="e">
        <f>IF(OR(AS485=0,AS485&gt;=#REF!),0,FV($O$1,AP486,-#REF!,0,1))</f>
        <v>#REF!</v>
      </c>
      <c r="AU486" s="5">
        <f t="shared" si="78"/>
        <v>0</v>
      </c>
    </row>
    <row r="487" spans="12:47" hidden="1" x14ac:dyDescent="0.25">
      <c r="L487" s="2" t="str">
        <f t="shared" si="87"/>
        <v/>
      </c>
      <c r="M487" s="45">
        <f t="shared" si="86"/>
        <v>38</v>
      </c>
      <c r="N487" s="36">
        <v>467</v>
      </c>
      <c r="O487" s="91">
        <f t="shared" si="80"/>
        <v>0</v>
      </c>
      <c r="P487" s="38">
        <f t="shared" si="81"/>
        <v>0</v>
      </c>
      <c r="W487" s="26">
        <f t="shared" si="82"/>
        <v>0</v>
      </c>
      <c r="X487" s="5">
        <f t="shared" si="83"/>
        <v>0</v>
      </c>
      <c r="Y487" s="5"/>
      <c r="AA487" s="63">
        <f t="shared" si="84"/>
        <v>0</v>
      </c>
      <c r="AB487" s="5">
        <f t="shared" si="85"/>
        <v>0</v>
      </c>
      <c r="AP487" s="3">
        <v>474</v>
      </c>
      <c r="AR487" s="14">
        <f t="shared" si="79"/>
        <v>0</v>
      </c>
      <c r="AS487" s="17" t="e">
        <f>IF(OR(AS486=0,AS486&gt;=#REF!),0,FV($O$1,AP487,-#REF!,0,1))</f>
        <v>#REF!</v>
      </c>
      <c r="AU487" s="5">
        <f t="shared" si="78"/>
        <v>0</v>
      </c>
    </row>
    <row r="488" spans="12:47" hidden="1" x14ac:dyDescent="0.25">
      <c r="L488" s="2" t="str">
        <f t="shared" si="87"/>
        <v/>
      </c>
      <c r="M488" s="45">
        <f t="shared" si="86"/>
        <v>38</v>
      </c>
      <c r="N488" s="36">
        <v>468</v>
      </c>
      <c r="O488" s="91">
        <f t="shared" si="80"/>
        <v>0</v>
      </c>
      <c r="P488" s="38">
        <f t="shared" si="81"/>
        <v>0</v>
      </c>
      <c r="W488" s="26">
        <f t="shared" si="82"/>
        <v>0</v>
      </c>
      <c r="X488" s="5">
        <f t="shared" si="83"/>
        <v>0</v>
      </c>
      <c r="Y488" s="5"/>
      <c r="AA488" s="63">
        <f t="shared" si="84"/>
        <v>0</v>
      </c>
      <c r="AB488" s="5">
        <f t="shared" si="85"/>
        <v>0</v>
      </c>
      <c r="AP488" s="3">
        <v>475</v>
      </c>
      <c r="AR488" s="14">
        <f t="shared" si="79"/>
        <v>0</v>
      </c>
      <c r="AS488" s="17" t="e">
        <f>IF(OR(AS487=0,AS487&gt;=#REF!),0,FV($O$1,AP488,-#REF!,0,1))</f>
        <v>#REF!</v>
      </c>
      <c r="AU488" s="5">
        <f t="shared" si="78"/>
        <v>0</v>
      </c>
    </row>
    <row r="489" spans="12:47" hidden="1" x14ac:dyDescent="0.25">
      <c r="L489" s="2" t="str">
        <f t="shared" si="87"/>
        <v/>
      </c>
      <c r="M489" s="45">
        <f t="shared" si="86"/>
        <v>39</v>
      </c>
      <c r="N489" s="36">
        <v>469</v>
      </c>
      <c r="O489" s="91">
        <f t="shared" si="80"/>
        <v>0</v>
      </c>
      <c r="P489" s="38">
        <f t="shared" si="81"/>
        <v>0</v>
      </c>
      <c r="W489" s="26">
        <f t="shared" si="82"/>
        <v>0</v>
      </c>
      <c r="X489" s="5">
        <f t="shared" si="83"/>
        <v>0</v>
      </c>
      <c r="Y489" s="5"/>
      <c r="AA489" s="63">
        <f t="shared" si="84"/>
        <v>0</v>
      </c>
      <c r="AB489" s="5">
        <f t="shared" si="85"/>
        <v>0</v>
      </c>
      <c r="AP489" s="3">
        <v>476</v>
      </c>
      <c r="AR489" s="14">
        <f t="shared" si="79"/>
        <v>0</v>
      </c>
      <c r="AS489" s="17" t="e">
        <f>IF(OR(AS488=0,AS488&gt;=#REF!),0,FV($O$1,AP489,-#REF!,0,1))</f>
        <v>#REF!</v>
      </c>
      <c r="AU489" s="5">
        <f t="shared" si="78"/>
        <v>0</v>
      </c>
    </row>
    <row r="490" spans="12:47" hidden="1" x14ac:dyDescent="0.25">
      <c r="L490" s="2" t="str">
        <f t="shared" si="87"/>
        <v/>
      </c>
      <c r="M490" s="45">
        <f t="shared" si="86"/>
        <v>39</v>
      </c>
      <c r="N490" s="36">
        <v>470</v>
      </c>
      <c r="O490" s="91">
        <f t="shared" si="80"/>
        <v>0</v>
      </c>
      <c r="P490" s="38">
        <f t="shared" si="81"/>
        <v>0</v>
      </c>
      <c r="W490" s="26">
        <f t="shared" si="82"/>
        <v>0</v>
      </c>
      <c r="X490" s="5">
        <f t="shared" si="83"/>
        <v>0</v>
      </c>
      <c r="Y490" s="5"/>
      <c r="AA490" s="63">
        <f t="shared" si="84"/>
        <v>0</v>
      </c>
      <c r="AB490" s="5">
        <f t="shared" si="85"/>
        <v>0</v>
      </c>
      <c r="AP490" s="3">
        <v>477</v>
      </c>
      <c r="AR490" s="14">
        <f t="shared" si="79"/>
        <v>0</v>
      </c>
      <c r="AS490" s="17" t="e">
        <f>IF(OR(AS489=0,AS489&gt;=#REF!),0,FV($O$1,AP490,-#REF!,0,1))</f>
        <v>#REF!</v>
      </c>
      <c r="AU490" s="5">
        <f t="shared" si="78"/>
        <v>0</v>
      </c>
    </row>
    <row r="491" spans="12:47" hidden="1" x14ac:dyDescent="0.25">
      <c r="L491" s="2" t="str">
        <f t="shared" si="87"/>
        <v/>
      </c>
      <c r="M491" s="45">
        <f t="shared" si="86"/>
        <v>39</v>
      </c>
      <c r="N491" s="36">
        <v>471</v>
      </c>
      <c r="O491" s="91">
        <f t="shared" si="80"/>
        <v>0</v>
      </c>
      <c r="P491" s="38">
        <f t="shared" si="81"/>
        <v>0</v>
      </c>
      <c r="W491" s="26">
        <f t="shared" si="82"/>
        <v>0</v>
      </c>
      <c r="X491" s="5">
        <f t="shared" si="83"/>
        <v>0</v>
      </c>
      <c r="Y491" s="5"/>
      <c r="AA491" s="63">
        <f t="shared" si="84"/>
        <v>0</v>
      </c>
      <c r="AB491" s="5">
        <f t="shared" si="85"/>
        <v>0</v>
      </c>
      <c r="AP491" s="3">
        <v>478</v>
      </c>
      <c r="AR491" s="14">
        <f t="shared" si="79"/>
        <v>0</v>
      </c>
      <c r="AS491" s="17" t="e">
        <f>IF(OR(AS490=0,AS490&gt;=#REF!),0,FV($O$1,AP491,-#REF!,0,1))</f>
        <v>#REF!</v>
      </c>
      <c r="AU491" s="5">
        <f t="shared" si="78"/>
        <v>0</v>
      </c>
    </row>
    <row r="492" spans="12:47" hidden="1" x14ac:dyDescent="0.25">
      <c r="L492" s="2" t="str">
        <f t="shared" si="87"/>
        <v/>
      </c>
      <c r="M492" s="45">
        <f t="shared" si="86"/>
        <v>39</v>
      </c>
      <c r="N492" s="36">
        <v>472</v>
      </c>
      <c r="O492" s="91">
        <f t="shared" si="80"/>
        <v>0</v>
      </c>
      <c r="P492" s="38">
        <f t="shared" si="81"/>
        <v>0</v>
      </c>
      <c r="W492" s="26">
        <f t="shared" si="82"/>
        <v>0</v>
      </c>
      <c r="X492" s="5">
        <f t="shared" si="83"/>
        <v>0</v>
      </c>
      <c r="Y492" s="5"/>
      <c r="AA492" s="63">
        <f t="shared" si="84"/>
        <v>0</v>
      </c>
      <c r="AB492" s="5">
        <f t="shared" si="85"/>
        <v>0</v>
      </c>
      <c r="AP492" s="3">
        <v>479</v>
      </c>
      <c r="AR492" s="14">
        <f t="shared" si="79"/>
        <v>0</v>
      </c>
      <c r="AS492" s="17" t="e">
        <f>IF(OR(AS491=0,AS491&gt;=#REF!),0,FV($O$1,AP492,-#REF!,0,1))</f>
        <v>#REF!</v>
      </c>
      <c r="AU492" s="5">
        <f t="shared" si="78"/>
        <v>0</v>
      </c>
    </row>
    <row r="493" spans="12:47" hidden="1" x14ac:dyDescent="0.25">
      <c r="L493" s="2" t="str">
        <f t="shared" si="87"/>
        <v/>
      </c>
      <c r="M493" s="45">
        <f t="shared" si="86"/>
        <v>39</v>
      </c>
      <c r="N493" s="36">
        <v>473</v>
      </c>
      <c r="O493" s="91">
        <f t="shared" si="80"/>
        <v>0</v>
      </c>
      <c r="P493" s="38">
        <f t="shared" si="81"/>
        <v>0</v>
      </c>
      <c r="W493" s="26">
        <f t="shared" si="82"/>
        <v>0</v>
      </c>
      <c r="X493" s="5">
        <f t="shared" si="83"/>
        <v>0</v>
      </c>
      <c r="Y493" s="5"/>
      <c r="AA493" s="63">
        <f t="shared" si="84"/>
        <v>0</v>
      </c>
      <c r="AB493" s="5">
        <f t="shared" si="85"/>
        <v>0</v>
      </c>
      <c r="AP493" s="3">
        <v>480</v>
      </c>
      <c r="AR493" s="14">
        <f t="shared" si="79"/>
        <v>0</v>
      </c>
      <c r="AS493" s="17" t="e">
        <f>IF(OR(AS492=0,AS492&gt;=#REF!),0,FV($O$1,AP493,-#REF!,0,1))</f>
        <v>#REF!</v>
      </c>
      <c r="AU493" s="5">
        <f t="shared" si="78"/>
        <v>0</v>
      </c>
    </row>
    <row r="494" spans="12:47" hidden="1" x14ac:dyDescent="0.25">
      <c r="L494" s="2" t="str">
        <f t="shared" si="87"/>
        <v/>
      </c>
      <c r="M494" s="45">
        <f t="shared" si="86"/>
        <v>39</v>
      </c>
      <c r="N494" s="36">
        <v>474</v>
      </c>
      <c r="O494" s="91">
        <f t="shared" si="80"/>
        <v>0</v>
      </c>
      <c r="P494" s="38">
        <f t="shared" si="81"/>
        <v>0</v>
      </c>
      <c r="W494" s="26">
        <f t="shared" si="82"/>
        <v>0</v>
      </c>
      <c r="X494" s="5">
        <f t="shared" si="83"/>
        <v>0</v>
      </c>
      <c r="Y494" s="5"/>
      <c r="AA494" s="63">
        <f t="shared" si="84"/>
        <v>0</v>
      </c>
      <c r="AB494" s="5">
        <f t="shared" si="85"/>
        <v>0</v>
      </c>
      <c r="AP494" s="3">
        <v>481</v>
      </c>
      <c r="AR494" s="14">
        <f t="shared" si="79"/>
        <v>0</v>
      </c>
      <c r="AS494" s="17" t="e">
        <f>IF(OR(AS493=0,AS493&gt;=#REF!),0,FV($O$1,AP494,-#REF!,0,1))</f>
        <v>#REF!</v>
      </c>
      <c r="AU494" s="5">
        <f t="shared" si="78"/>
        <v>0</v>
      </c>
    </row>
    <row r="495" spans="12:47" hidden="1" x14ac:dyDescent="0.25">
      <c r="L495" s="2" t="str">
        <f t="shared" si="87"/>
        <v/>
      </c>
      <c r="M495" s="45">
        <f t="shared" si="86"/>
        <v>39</v>
      </c>
      <c r="N495" s="36">
        <v>475</v>
      </c>
      <c r="O495" s="91">
        <f t="shared" si="80"/>
        <v>0</v>
      </c>
      <c r="P495" s="38">
        <f t="shared" si="81"/>
        <v>0</v>
      </c>
      <c r="W495" s="26">
        <f t="shared" si="82"/>
        <v>0</v>
      </c>
      <c r="X495" s="5">
        <f t="shared" si="83"/>
        <v>0</v>
      </c>
      <c r="Y495" s="5"/>
      <c r="AA495" s="63">
        <f t="shared" si="84"/>
        <v>0</v>
      </c>
      <c r="AB495" s="5">
        <f t="shared" si="85"/>
        <v>0</v>
      </c>
      <c r="AP495" s="3">
        <v>482</v>
      </c>
      <c r="AR495" s="14">
        <f t="shared" si="79"/>
        <v>0</v>
      </c>
      <c r="AS495" s="17" t="e">
        <f>IF(OR(AS494=0,AS494&gt;=#REF!),0,FV($O$1,AP495,-#REF!,0,1))</f>
        <v>#REF!</v>
      </c>
      <c r="AU495" s="5">
        <f t="shared" si="78"/>
        <v>0</v>
      </c>
    </row>
    <row r="496" spans="12:47" hidden="1" x14ac:dyDescent="0.25">
      <c r="L496" s="2" t="str">
        <f t="shared" si="87"/>
        <v/>
      </c>
      <c r="M496" s="45">
        <f t="shared" si="86"/>
        <v>39</v>
      </c>
      <c r="N496" s="36">
        <v>476</v>
      </c>
      <c r="O496" s="91">
        <f t="shared" si="80"/>
        <v>0</v>
      </c>
      <c r="P496" s="38">
        <f t="shared" si="81"/>
        <v>0</v>
      </c>
      <c r="W496" s="26">
        <f t="shared" si="82"/>
        <v>0</v>
      </c>
      <c r="X496" s="5">
        <f t="shared" si="83"/>
        <v>0</v>
      </c>
      <c r="Y496" s="5"/>
      <c r="AA496" s="63">
        <f t="shared" si="84"/>
        <v>0</v>
      </c>
      <c r="AB496" s="5">
        <f t="shared" si="85"/>
        <v>0</v>
      </c>
      <c r="AP496" s="3">
        <v>483</v>
      </c>
      <c r="AR496" s="14">
        <f t="shared" si="79"/>
        <v>0</v>
      </c>
      <c r="AS496" s="17" t="e">
        <f>IF(OR(AS495=0,AS495&gt;=#REF!),0,FV($O$1,AP496,-#REF!,0,1))</f>
        <v>#REF!</v>
      </c>
      <c r="AU496" s="5">
        <f t="shared" si="78"/>
        <v>0</v>
      </c>
    </row>
    <row r="497" spans="12:47" hidden="1" x14ac:dyDescent="0.25">
      <c r="L497" s="2" t="str">
        <f t="shared" si="87"/>
        <v/>
      </c>
      <c r="M497" s="45">
        <f t="shared" si="86"/>
        <v>39</v>
      </c>
      <c r="N497" s="36">
        <v>477</v>
      </c>
      <c r="O497" s="91">
        <f t="shared" si="80"/>
        <v>0</v>
      </c>
      <c r="P497" s="38">
        <f t="shared" si="81"/>
        <v>0</v>
      </c>
      <c r="W497" s="26">
        <f t="shared" si="82"/>
        <v>0</v>
      </c>
      <c r="X497" s="5">
        <f t="shared" si="83"/>
        <v>0</v>
      </c>
      <c r="Y497" s="5"/>
      <c r="AA497" s="63">
        <f t="shared" si="84"/>
        <v>0</v>
      </c>
      <c r="AB497" s="5">
        <f t="shared" si="85"/>
        <v>0</v>
      </c>
      <c r="AP497" s="3">
        <v>484</v>
      </c>
      <c r="AR497" s="14">
        <f t="shared" si="79"/>
        <v>0</v>
      </c>
      <c r="AS497" s="17" t="e">
        <f>IF(OR(AS496=0,AS496&gt;=#REF!),0,FV($O$1,AP497,-#REF!,0,1))</f>
        <v>#REF!</v>
      </c>
      <c r="AU497" s="5">
        <f t="shared" si="78"/>
        <v>0</v>
      </c>
    </row>
    <row r="498" spans="12:47" hidden="1" x14ac:dyDescent="0.25">
      <c r="L498" s="2" t="str">
        <f t="shared" si="87"/>
        <v/>
      </c>
      <c r="M498" s="45">
        <f t="shared" si="86"/>
        <v>39</v>
      </c>
      <c r="N498" s="36">
        <v>478</v>
      </c>
      <c r="O498" s="91">
        <f t="shared" si="80"/>
        <v>0</v>
      </c>
      <c r="P498" s="38">
        <f t="shared" si="81"/>
        <v>0</v>
      </c>
      <c r="W498" s="26">
        <f t="shared" si="82"/>
        <v>0</v>
      </c>
      <c r="X498" s="5">
        <f t="shared" si="83"/>
        <v>0</v>
      </c>
      <c r="Y498" s="5"/>
      <c r="AA498" s="63">
        <f t="shared" si="84"/>
        <v>0</v>
      </c>
      <c r="AB498" s="5">
        <f t="shared" si="85"/>
        <v>0</v>
      </c>
      <c r="AP498" s="3">
        <v>485</v>
      </c>
      <c r="AR498" s="14">
        <f t="shared" si="79"/>
        <v>0</v>
      </c>
      <c r="AS498" s="17" t="e">
        <f>IF(OR(AS497=0,AS497&gt;=#REF!),0,FV($O$1,AP498,-#REF!,0,1))</f>
        <v>#REF!</v>
      </c>
      <c r="AU498" s="5">
        <f t="shared" si="78"/>
        <v>0</v>
      </c>
    </row>
    <row r="499" spans="12:47" hidden="1" x14ac:dyDescent="0.25">
      <c r="L499" s="2" t="str">
        <f t="shared" si="87"/>
        <v/>
      </c>
      <c r="M499" s="45">
        <f t="shared" si="86"/>
        <v>39</v>
      </c>
      <c r="N499" s="36">
        <v>479</v>
      </c>
      <c r="O499" s="91">
        <f t="shared" si="80"/>
        <v>0</v>
      </c>
      <c r="P499" s="38">
        <f t="shared" si="81"/>
        <v>0</v>
      </c>
      <c r="W499" s="26">
        <f t="shared" si="82"/>
        <v>0</v>
      </c>
      <c r="X499" s="5">
        <f t="shared" si="83"/>
        <v>0</v>
      </c>
      <c r="Y499" s="5"/>
      <c r="AA499" s="63">
        <f t="shared" si="84"/>
        <v>0</v>
      </c>
      <c r="AB499" s="5">
        <f t="shared" si="85"/>
        <v>0</v>
      </c>
      <c r="AP499" s="3">
        <v>486</v>
      </c>
      <c r="AR499" s="14">
        <f t="shared" si="79"/>
        <v>0</v>
      </c>
      <c r="AS499" s="17" t="e">
        <f>IF(OR(AS498=0,AS498&gt;=#REF!),0,FV($O$1,AP499,-#REF!,0,1))</f>
        <v>#REF!</v>
      </c>
      <c r="AU499" s="5">
        <f t="shared" si="78"/>
        <v>0</v>
      </c>
    </row>
    <row r="500" spans="12:47" hidden="1" x14ac:dyDescent="0.25">
      <c r="L500" s="2" t="str">
        <f t="shared" si="87"/>
        <v/>
      </c>
      <c r="M500" s="45">
        <f t="shared" si="86"/>
        <v>39</v>
      </c>
      <c r="N500" s="36">
        <v>480</v>
      </c>
      <c r="O500" s="91">
        <f t="shared" si="80"/>
        <v>0</v>
      </c>
      <c r="P500" s="38">
        <f t="shared" si="81"/>
        <v>0</v>
      </c>
      <c r="W500" s="26">
        <f t="shared" si="82"/>
        <v>0</v>
      </c>
      <c r="X500" s="5">
        <f t="shared" si="83"/>
        <v>0</v>
      </c>
      <c r="Y500" s="5"/>
      <c r="AA500" s="63">
        <f t="shared" si="84"/>
        <v>0</v>
      </c>
      <c r="AB500" s="5">
        <f t="shared" si="85"/>
        <v>0</v>
      </c>
      <c r="AP500" s="3">
        <v>487</v>
      </c>
      <c r="AR500" s="14">
        <f t="shared" si="79"/>
        <v>0</v>
      </c>
      <c r="AS500" s="17" t="e">
        <f>IF(OR(AS499=0,AS499&gt;=#REF!),0,FV($O$1,AP500,-#REF!,0,1))</f>
        <v>#REF!</v>
      </c>
      <c r="AU500" s="5">
        <f t="shared" si="78"/>
        <v>0</v>
      </c>
    </row>
    <row r="501" spans="12:47" hidden="1" x14ac:dyDescent="0.25">
      <c r="L501" s="2" t="str">
        <f t="shared" si="87"/>
        <v/>
      </c>
      <c r="M501" s="45">
        <f t="shared" si="86"/>
        <v>40</v>
      </c>
      <c r="N501" s="36">
        <v>481</v>
      </c>
      <c r="O501" s="91">
        <f t="shared" si="80"/>
        <v>0</v>
      </c>
      <c r="P501" s="38">
        <f t="shared" si="81"/>
        <v>0</v>
      </c>
      <c r="W501" s="26">
        <f t="shared" si="82"/>
        <v>0</v>
      </c>
      <c r="X501" s="5">
        <f t="shared" si="83"/>
        <v>0</v>
      </c>
      <c r="Y501" s="5"/>
      <c r="AA501" s="63">
        <f t="shared" si="84"/>
        <v>0</v>
      </c>
      <c r="AB501" s="5">
        <f t="shared" si="85"/>
        <v>0</v>
      </c>
      <c r="AP501" s="3">
        <v>488</v>
      </c>
      <c r="AR501" s="14">
        <f t="shared" si="79"/>
        <v>0</v>
      </c>
      <c r="AS501" s="17" t="e">
        <f>IF(OR(AS500=0,AS500&gt;=#REF!),0,FV($O$1,AP501,-#REF!,0,1))</f>
        <v>#REF!</v>
      </c>
      <c r="AU501" s="5">
        <f t="shared" si="78"/>
        <v>0</v>
      </c>
    </row>
    <row r="502" spans="12:47" hidden="1" x14ac:dyDescent="0.25">
      <c r="L502" s="2" t="str">
        <f t="shared" si="87"/>
        <v/>
      </c>
      <c r="M502" s="45">
        <f t="shared" si="86"/>
        <v>40</v>
      </c>
      <c r="N502" s="36">
        <v>482</v>
      </c>
      <c r="O502" s="91">
        <f t="shared" si="80"/>
        <v>0</v>
      </c>
      <c r="P502" s="38">
        <f t="shared" si="81"/>
        <v>0</v>
      </c>
      <c r="W502" s="26">
        <f t="shared" si="82"/>
        <v>0</v>
      </c>
      <c r="X502" s="5">
        <f t="shared" si="83"/>
        <v>0</v>
      </c>
      <c r="Y502" s="5"/>
      <c r="AA502" s="63">
        <f t="shared" si="84"/>
        <v>0</v>
      </c>
      <c r="AB502" s="5">
        <f t="shared" si="85"/>
        <v>0</v>
      </c>
      <c r="AP502" s="3">
        <v>489</v>
      </c>
      <c r="AR502" s="14">
        <f t="shared" si="79"/>
        <v>0</v>
      </c>
      <c r="AS502" s="17" t="e">
        <f>IF(OR(AS501=0,AS501&gt;=#REF!),0,FV($O$1,AP502,-#REF!,0,1))</f>
        <v>#REF!</v>
      </c>
      <c r="AU502" s="5">
        <f t="shared" si="78"/>
        <v>0</v>
      </c>
    </row>
    <row r="503" spans="12:47" hidden="1" x14ac:dyDescent="0.25">
      <c r="L503" s="2" t="str">
        <f t="shared" si="87"/>
        <v/>
      </c>
      <c r="M503" s="45">
        <f t="shared" si="86"/>
        <v>40</v>
      </c>
      <c r="N503" s="36">
        <v>483</v>
      </c>
      <c r="O503" s="91">
        <f t="shared" si="80"/>
        <v>0</v>
      </c>
      <c r="P503" s="38">
        <f t="shared" si="81"/>
        <v>0</v>
      </c>
      <c r="W503" s="26">
        <f t="shared" si="82"/>
        <v>0</v>
      </c>
      <c r="X503" s="5">
        <f t="shared" si="83"/>
        <v>0</v>
      </c>
      <c r="Y503" s="5"/>
      <c r="AA503" s="63">
        <f t="shared" si="84"/>
        <v>0</v>
      </c>
      <c r="AB503" s="5">
        <f t="shared" si="85"/>
        <v>0</v>
      </c>
      <c r="AP503" s="3">
        <v>490</v>
      </c>
      <c r="AR503" s="14">
        <f t="shared" si="79"/>
        <v>0</v>
      </c>
      <c r="AS503" s="17" t="e">
        <f>IF(OR(AS502=0,AS502&gt;=#REF!),0,FV($O$1,AP503,-#REF!,0,1))</f>
        <v>#REF!</v>
      </c>
      <c r="AU503" s="5">
        <f t="shared" si="78"/>
        <v>0</v>
      </c>
    </row>
    <row r="504" spans="12:47" hidden="1" x14ac:dyDescent="0.25">
      <c r="L504" s="2" t="str">
        <f t="shared" si="87"/>
        <v/>
      </c>
      <c r="M504" s="45">
        <f t="shared" si="86"/>
        <v>40</v>
      </c>
      <c r="N504" s="36">
        <v>484</v>
      </c>
      <c r="O504" s="91">
        <f t="shared" si="80"/>
        <v>0</v>
      </c>
      <c r="P504" s="38">
        <f t="shared" si="81"/>
        <v>0</v>
      </c>
      <c r="W504" s="26">
        <f t="shared" si="82"/>
        <v>0</v>
      </c>
      <c r="X504" s="5">
        <f t="shared" si="83"/>
        <v>0</v>
      </c>
      <c r="Y504" s="5"/>
      <c r="AA504" s="63">
        <f t="shared" si="84"/>
        <v>0</v>
      </c>
      <c r="AB504" s="5">
        <f t="shared" si="85"/>
        <v>0</v>
      </c>
      <c r="AP504" s="3">
        <v>491</v>
      </c>
      <c r="AR504" s="14">
        <f t="shared" si="79"/>
        <v>0</v>
      </c>
      <c r="AS504" s="17" t="e">
        <f>IF(OR(AS503=0,AS503&gt;=#REF!),0,FV($O$1,AP504,-#REF!,0,1))</f>
        <v>#REF!</v>
      </c>
      <c r="AU504" s="5">
        <f t="shared" si="78"/>
        <v>0</v>
      </c>
    </row>
    <row r="505" spans="12:47" hidden="1" x14ac:dyDescent="0.25">
      <c r="L505" s="2" t="str">
        <f t="shared" si="87"/>
        <v/>
      </c>
      <c r="M505" s="45">
        <f t="shared" si="86"/>
        <v>40</v>
      </c>
      <c r="N505" s="36">
        <v>485</v>
      </c>
      <c r="O505" s="91">
        <f t="shared" si="80"/>
        <v>0</v>
      </c>
      <c r="P505" s="38">
        <f t="shared" si="81"/>
        <v>0</v>
      </c>
      <c r="W505" s="26">
        <f t="shared" si="82"/>
        <v>0</v>
      </c>
      <c r="X505" s="5">
        <f t="shared" si="83"/>
        <v>0</v>
      </c>
      <c r="Y505" s="5"/>
      <c r="AA505" s="63">
        <f t="shared" si="84"/>
        <v>0</v>
      </c>
      <c r="AB505" s="5">
        <f t="shared" si="85"/>
        <v>0</v>
      </c>
      <c r="AP505" s="3">
        <v>492</v>
      </c>
      <c r="AR505" s="14">
        <f t="shared" si="79"/>
        <v>0</v>
      </c>
      <c r="AS505" s="17" t="e">
        <f>IF(OR(AS504=0,AS504&gt;=#REF!),0,FV($O$1,AP505,-#REF!,0,1))</f>
        <v>#REF!</v>
      </c>
      <c r="AU505" s="5">
        <f t="shared" si="78"/>
        <v>0</v>
      </c>
    </row>
    <row r="506" spans="12:47" hidden="1" x14ac:dyDescent="0.25">
      <c r="L506" s="2" t="str">
        <f t="shared" si="87"/>
        <v/>
      </c>
      <c r="M506" s="45">
        <f t="shared" si="86"/>
        <v>40</v>
      </c>
      <c r="N506" s="36">
        <v>486</v>
      </c>
      <c r="O506" s="91">
        <f t="shared" si="80"/>
        <v>0</v>
      </c>
      <c r="P506" s="38">
        <f t="shared" si="81"/>
        <v>0</v>
      </c>
      <c r="W506" s="26">
        <f t="shared" si="82"/>
        <v>0</v>
      </c>
      <c r="X506" s="5">
        <f t="shared" si="83"/>
        <v>0</v>
      </c>
      <c r="Y506" s="5"/>
      <c r="AA506" s="63">
        <f t="shared" si="84"/>
        <v>0</v>
      </c>
      <c r="AB506" s="5">
        <f t="shared" si="85"/>
        <v>0</v>
      </c>
      <c r="AP506" s="3">
        <v>493</v>
      </c>
      <c r="AR506" s="14">
        <f t="shared" si="79"/>
        <v>0</v>
      </c>
      <c r="AS506" s="17" t="e">
        <f>IF(OR(AS505=0,AS505&gt;=#REF!),0,FV($O$1,AP506,-#REF!,0,1))</f>
        <v>#REF!</v>
      </c>
      <c r="AU506" s="5">
        <f t="shared" si="78"/>
        <v>0</v>
      </c>
    </row>
    <row r="507" spans="12:47" hidden="1" x14ac:dyDescent="0.25">
      <c r="L507" s="2" t="str">
        <f t="shared" si="87"/>
        <v/>
      </c>
      <c r="M507" s="45">
        <f t="shared" si="86"/>
        <v>40</v>
      </c>
      <c r="N507" s="36">
        <v>487</v>
      </c>
      <c r="O507" s="91">
        <f t="shared" si="80"/>
        <v>0</v>
      </c>
      <c r="P507" s="38">
        <f t="shared" si="81"/>
        <v>0</v>
      </c>
      <c r="W507" s="26">
        <f t="shared" si="82"/>
        <v>0</v>
      </c>
      <c r="X507" s="5">
        <f t="shared" si="83"/>
        <v>0</v>
      </c>
      <c r="Y507" s="5"/>
      <c r="AA507" s="63">
        <f t="shared" si="84"/>
        <v>0</v>
      </c>
      <c r="AB507" s="5">
        <f t="shared" si="85"/>
        <v>0</v>
      </c>
      <c r="AP507" s="3">
        <v>494</v>
      </c>
      <c r="AR507" s="14">
        <f t="shared" si="79"/>
        <v>0</v>
      </c>
      <c r="AS507" s="17" t="e">
        <f>IF(OR(AS506=0,AS506&gt;=#REF!),0,FV($O$1,AP507,-#REF!,0,1))</f>
        <v>#REF!</v>
      </c>
      <c r="AU507" s="5">
        <f t="shared" si="78"/>
        <v>0</v>
      </c>
    </row>
    <row r="508" spans="12:47" hidden="1" x14ac:dyDescent="0.25">
      <c r="L508" s="2" t="str">
        <f t="shared" si="87"/>
        <v/>
      </c>
      <c r="M508" s="45">
        <f t="shared" si="86"/>
        <v>40</v>
      </c>
      <c r="N508" s="36">
        <v>488</v>
      </c>
      <c r="O508" s="91">
        <f t="shared" si="80"/>
        <v>0</v>
      </c>
      <c r="P508" s="38">
        <f t="shared" si="81"/>
        <v>0</v>
      </c>
      <c r="W508" s="26">
        <f t="shared" si="82"/>
        <v>0</v>
      </c>
      <c r="X508" s="5">
        <f t="shared" si="83"/>
        <v>0</v>
      </c>
      <c r="Y508" s="5"/>
      <c r="AA508" s="63">
        <f t="shared" si="84"/>
        <v>0</v>
      </c>
      <c r="AB508" s="5">
        <f t="shared" si="85"/>
        <v>0</v>
      </c>
      <c r="AP508" s="3">
        <v>495</v>
      </c>
      <c r="AR508" s="14">
        <f t="shared" si="79"/>
        <v>0</v>
      </c>
      <c r="AS508" s="17" t="e">
        <f>IF(OR(AS507=0,AS507&gt;=#REF!),0,FV($O$1,AP508,-#REF!,0,1))</f>
        <v>#REF!</v>
      </c>
      <c r="AU508" s="5">
        <f t="shared" si="78"/>
        <v>0</v>
      </c>
    </row>
    <row r="509" spans="12:47" hidden="1" x14ac:dyDescent="0.25">
      <c r="L509" s="2" t="str">
        <f t="shared" si="87"/>
        <v/>
      </c>
      <c r="M509" s="45">
        <f t="shared" si="86"/>
        <v>40</v>
      </c>
      <c r="N509" s="36">
        <v>489</v>
      </c>
      <c r="O509" s="91">
        <f t="shared" si="80"/>
        <v>0</v>
      </c>
      <c r="P509" s="38">
        <f t="shared" si="81"/>
        <v>0</v>
      </c>
      <c r="W509" s="26">
        <f t="shared" si="82"/>
        <v>0</v>
      </c>
      <c r="X509" s="5">
        <f t="shared" si="83"/>
        <v>0</v>
      </c>
      <c r="Y509" s="5"/>
      <c r="AA509" s="63">
        <f t="shared" si="84"/>
        <v>0</v>
      </c>
      <c r="AB509" s="5">
        <f t="shared" si="85"/>
        <v>0</v>
      </c>
      <c r="AP509" s="3">
        <v>496</v>
      </c>
      <c r="AR509" s="14">
        <f t="shared" si="79"/>
        <v>0</v>
      </c>
      <c r="AS509" s="17" t="e">
        <f>IF(OR(AS508=0,AS508&gt;=#REF!),0,FV($O$1,AP509,-#REF!,0,1))</f>
        <v>#REF!</v>
      </c>
      <c r="AU509" s="5">
        <f t="shared" si="78"/>
        <v>0</v>
      </c>
    </row>
    <row r="510" spans="12:47" hidden="1" x14ac:dyDescent="0.25">
      <c r="L510" s="2" t="str">
        <f t="shared" si="87"/>
        <v/>
      </c>
      <c r="M510" s="45">
        <f t="shared" si="86"/>
        <v>40</v>
      </c>
      <c r="N510" s="36">
        <v>490</v>
      </c>
      <c r="O510" s="91">
        <f t="shared" si="80"/>
        <v>0</v>
      </c>
      <c r="P510" s="38">
        <f t="shared" si="81"/>
        <v>0</v>
      </c>
      <c r="W510" s="26">
        <f t="shared" si="82"/>
        <v>0</v>
      </c>
      <c r="X510" s="5">
        <f t="shared" si="83"/>
        <v>0</v>
      </c>
      <c r="Y510" s="5"/>
      <c r="AA510" s="63">
        <f t="shared" si="84"/>
        <v>0</v>
      </c>
      <c r="AB510" s="5">
        <f t="shared" si="85"/>
        <v>0</v>
      </c>
      <c r="AP510" s="3">
        <v>497</v>
      </c>
      <c r="AR510" s="14">
        <f t="shared" si="79"/>
        <v>0</v>
      </c>
      <c r="AS510" s="17" t="e">
        <f>IF(OR(AS509=0,AS509&gt;=#REF!),0,FV($O$1,AP510,-#REF!,0,1))</f>
        <v>#REF!</v>
      </c>
      <c r="AU510" s="5">
        <f t="shared" si="78"/>
        <v>0</v>
      </c>
    </row>
    <row r="511" spans="12:47" hidden="1" x14ac:dyDescent="0.25">
      <c r="L511" s="2" t="str">
        <f t="shared" si="87"/>
        <v/>
      </c>
      <c r="M511" s="45">
        <f t="shared" si="86"/>
        <v>40</v>
      </c>
      <c r="N511" s="36">
        <v>491</v>
      </c>
      <c r="O511" s="91">
        <f t="shared" si="80"/>
        <v>0</v>
      </c>
      <c r="P511" s="38">
        <f t="shared" si="81"/>
        <v>0</v>
      </c>
      <c r="W511" s="26">
        <f t="shared" si="82"/>
        <v>0</v>
      </c>
      <c r="X511" s="5">
        <f t="shared" si="83"/>
        <v>0</v>
      </c>
      <c r="Y511" s="5"/>
      <c r="AA511" s="63">
        <f t="shared" si="84"/>
        <v>0</v>
      </c>
      <c r="AB511" s="5">
        <f t="shared" si="85"/>
        <v>0</v>
      </c>
      <c r="AP511" s="3">
        <v>498</v>
      </c>
      <c r="AR511" s="14">
        <f t="shared" si="79"/>
        <v>0</v>
      </c>
      <c r="AS511" s="17" t="e">
        <f>IF(OR(AS510=0,AS510&gt;=#REF!),0,FV($O$1,AP511,-#REF!,0,1))</f>
        <v>#REF!</v>
      </c>
      <c r="AU511" s="5">
        <f t="shared" si="78"/>
        <v>0</v>
      </c>
    </row>
    <row r="512" spans="12:47" hidden="1" x14ac:dyDescent="0.25">
      <c r="L512" s="2" t="str">
        <f t="shared" si="87"/>
        <v/>
      </c>
      <c r="M512" s="45">
        <f t="shared" si="86"/>
        <v>40</v>
      </c>
      <c r="N512" s="36">
        <v>492</v>
      </c>
      <c r="O512" s="91">
        <f t="shared" si="80"/>
        <v>0</v>
      </c>
      <c r="P512" s="38">
        <f t="shared" si="81"/>
        <v>0</v>
      </c>
      <c r="W512" s="26">
        <f t="shared" si="82"/>
        <v>0</v>
      </c>
      <c r="X512" s="5">
        <f t="shared" si="83"/>
        <v>0</v>
      </c>
      <c r="Y512" s="5"/>
      <c r="AA512" s="63">
        <f t="shared" si="84"/>
        <v>0</v>
      </c>
      <c r="AB512" s="5">
        <f t="shared" si="85"/>
        <v>0</v>
      </c>
      <c r="AP512" s="3">
        <v>499</v>
      </c>
      <c r="AR512" s="14">
        <f t="shared" si="79"/>
        <v>0</v>
      </c>
      <c r="AS512" s="17" t="e">
        <f>IF(OR(AS511=0,AS511&gt;=#REF!),0,FV($O$1,AP512,-#REF!,0,1))</f>
        <v>#REF!</v>
      </c>
      <c r="AU512" s="5">
        <f t="shared" si="78"/>
        <v>0</v>
      </c>
    </row>
    <row r="513" spans="12:47" hidden="1" x14ac:dyDescent="0.25">
      <c r="L513" s="2" t="str">
        <f t="shared" si="87"/>
        <v/>
      </c>
      <c r="M513" s="45">
        <f t="shared" si="86"/>
        <v>41</v>
      </c>
      <c r="N513" s="36">
        <v>493</v>
      </c>
      <c r="O513" s="91">
        <f t="shared" si="80"/>
        <v>0</v>
      </c>
      <c r="P513" s="38">
        <f t="shared" si="81"/>
        <v>0</v>
      </c>
      <c r="W513" s="26">
        <f t="shared" si="82"/>
        <v>0</v>
      </c>
      <c r="X513" s="5">
        <f t="shared" si="83"/>
        <v>0</v>
      </c>
      <c r="Y513" s="5"/>
      <c r="AA513" s="63">
        <f t="shared" si="84"/>
        <v>0</v>
      </c>
      <c r="AB513" s="5">
        <f t="shared" si="85"/>
        <v>0</v>
      </c>
      <c r="AP513" s="3">
        <v>500</v>
      </c>
      <c r="AR513" s="14">
        <f t="shared" si="79"/>
        <v>0</v>
      </c>
      <c r="AS513" s="17" t="e">
        <f>IF(OR(AS512=0,AS512&gt;=#REF!),0,FV($O$1,AP513,-#REF!,0,1))</f>
        <v>#REF!</v>
      </c>
      <c r="AU513" s="5">
        <f t="shared" si="78"/>
        <v>0</v>
      </c>
    </row>
    <row r="514" spans="12:47" hidden="1" x14ac:dyDescent="0.25">
      <c r="L514" s="2" t="str">
        <f t="shared" si="87"/>
        <v/>
      </c>
      <c r="M514" s="45">
        <f t="shared" si="86"/>
        <v>41</v>
      </c>
      <c r="N514" s="36">
        <v>494</v>
      </c>
      <c r="O514" s="91">
        <f t="shared" si="80"/>
        <v>0</v>
      </c>
      <c r="P514" s="38">
        <f t="shared" si="81"/>
        <v>0</v>
      </c>
      <c r="W514" s="26">
        <f t="shared" si="82"/>
        <v>0</v>
      </c>
      <c r="X514" s="5">
        <f t="shared" si="83"/>
        <v>0</v>
      </c>
      <c r="Y514" s="5"/>
      <c r="AA514" s="63">
        <f t="shared" si="84"/>
        <v>0</v>
      </c>
      <c r="AB514" s="5">
        <f t="shared" si="85"/>
        <v>0</v>
      </c>
      <c r="AP514" s="3">
        <v>501</v>
      </c>
      <c r="AR514" s="14">
        <f t="shared" si="79"/>
        <v>0</v>
      </c>
      <c r="AS514" s="17" t="e">
        <f>IF(OR(AS513=0,AS513&gt;=#REF!),0,FV($O$1,AP514,-#REF!,0,1))</f>
        <v>#REF!</v>
      </c>
      <c r="AU514" s="5">
        <f t="shared" si="78"/>
        <v>0</v>
      </c>
    </row>
    <row r="515" spans="12:47" hidden="1" x14ac:dyDescent="0.25">
      <c r="L515" s="2" t="str">
        <f t="shared" si="87"/>
        <v/>
      </c>
      <c r="M515" s="45">
        <f t="shared" si="86"/>
        <v>41</v>
      </c>
      <c r="N515" s="36">
        <v>495</v>
      </c>
      <c r="O515" s="91">
        <f t="shared" si="80"/>
        <v>0</v>
      </c>
      <c r="P515" s="38">
        <f t="shared" si="81"/>
        <v>0</v>
      </c>
      <c r="W515" s="26">
        <f t="shared" si="82"/>
        <v>0</v>
      </c>
      <c r="X515" s="5">
        <f t="shared" si="83"/>
        <v>0</v>
      </c>
      <c r="Y515" s="5"/>
      <c r="AA515" s="63">
        <f t="shared" si="84"/>
        <v>0</v>
      </c>
      <c r="AB515" s="5">
        <f t="shared" si="85"/>
        <v>0</v>
      </c>
      <c r="AP515" s="3">
        <v>502</v>
      </c>
      <c r="AR515" s="14">
        <f t="shared" si="79"/>
        <v>0</v>
      </c>
      <c r="AS515" s="17" t="e">
        <f>IF(OR(AS514=0,AS514&gt;=#REF!),0,FV($O$1,AP515,-#REF!,0,1))</f>
        <v>#REF!</v>
      </c>
      <c r="AU515" s="5">
        <f t="shared" si="78"/>
        <v>0</v>
      </c>
    </row>
    <row r="516" spans="12:47" hidden="1" x14ac:dyDescent="0.25">
      <c r="L516" s="2" t="str">
        <f t="shared" si="87"/>
        <v/>
      </c>
      <c r="M516" s="45">
        <f t="shared" si="86"/>
        <v>41</v>
      </c>
      <c r="N516" s="36">
        <v>496</v>
      </c>
      <c r="O516" s="91">
        <f t="shared" si="80"/>
        <v>0</v>
      </c>
      <c r="P516" s="38">
        <f t="shared" si="81"/>
        <v>0</v>
      </c>
      <c r="W516" s="26">
        <f t="shared" si="82"/>
        <v>0</v>
      </c>
      <c r="X516" s="5">
        <f t="shared" si="83"/>
        <v>0</v>
      </c>
      <c r="Y516" s="5"/>
      <c r="AA516" s="63">
        <f t="shared" si="84"/>
        <v>0</v>
      </c>
      <c r="AB516" s="5">
        <f t="shared" si="85"/>
        <v>0</v>
      </c>
      <c r="AP516" s="3">
        <v>503</v>
      </c>
      <c r="AR516" s="14">
        <f t="shared" si="79"/>
        <v>0</v>
      </c>
      <c r="AS516" s="17" t="e">
        <f>IF(OR(AS515=0,AS515&gt;=#REF!),0,FV($O$1,AP516,-#REF!,0,1))</f>
        <v>#REF!</v>
      </c>
      <c r="AU516" s="5">
        <f t="shared" si="78"/>
        <v>0</v>
      </c>
    </row>
    <row r="517" spans="12:47" hidden="1" x14ac:dyDescent="0.25">
      <c r="L517" s="2" t="str">
        <f t="shared" si="87"/>
        <v/>
      </c>
      <c r="M517" s="45">
        <f t="shared" si="86"/>
        <v>41</v>
      </c>
      <c r="N517" s="36">
        <v>497</v>
      </c>
      <c r="O517" s="91">
        <f t="shared" si="80"/>
        <v>0</v>
      </c>
      <c r="P517" s="38">
        <f t="shared" si="81"/>
        <v>0</v>
      </c>
      <c r="W517" s="26">
        <f t="shared" si="82"/>
        <v>0</v>
      </c>
      <c r="X517" s="5">
        <f t="shared" si="83"/>
        <v>0</v>
      </c>
      <c r="Y517" s="5"/>
      <c r="AA517" s="63">
        <f t="shared" si="84"/>
        <v>0</v>
      </c>
      <c r="AB517" s="5">
        <f t="shared" si="85"/>
        <v>0</v>
      </c>
      <c r="AP517" s="3">
        <v>504</v>
      </c>
      <c r="AR517" s="14">
        <f t="shared" si="79"/>
        <v>0</v>
      </c>
      <c r="AS517" s="17" t="e">
        <f>IF(OR(AS516=0,AS516&gt;=#REF!),0,FV($O$1,AP517,-#REF!,0,1))</f>
        <v>#REF!</v>
      </c>
      <c r="AU517" s="5">
        <f t="shared" si="78"/>
        <v>0</v>
      </c>
    </row>
    <row r="518" spans="12:47" hidden="1" x14ac:dyDescent="0.25">
      <c r="L518" s="2" t="str">
        <f t="shared" si="87"/>
        <v/>
      </c>
      <c r="M518" s="45">
        <f t="shared" si="86"/>
        <v>41</v>
      </c>
      <c r="N518" s="36">
        <v>498</v>
      </c>
      <c r="O518" s="91">
        <f t="shared" si="80"/>
        <v>0</v>
      </c>
      <c r="P518" s="38">
        <f t="shared" si="81"/>
        <v>0</v>
      </c>
      <c r="W518" s="26">
        <f t="shared" si="82"/>
        <v>0</v>
      </c>
      <c r="X518" s="5">
        <f t="shared" si="83"/>
        <v>0</v>
      </c>
      <c r="Y518" s="5"/>
      <c r="AA518" s="63">
        <f t="shared" si="84"/>
        <v>0</v>
      </c>
      <c r="AB518" s="5">
        <f t="shared" si="85"/>
        <v>0</v>
      </c>
      <c r="AP518" s="3">
        <v>505</v>
      </c>
      <c r="AR518" s="14">
        <f t="shared" si="79"/>
        <v>0</v>
      </c>
      <c r="AS518" s="17" t="e">
        <f>IF(OR(AS517=0,AS517&gt;=#REF!),0,FV($O$1,AP518,-#REF!,0,1))</f>
        <v>#REF!</v>
      </c>
      <c r="AU518" s="5">
        <f t="shared" si="78"/>
        <v>0</v>
      </c>
    </row>
    <row r="519" spans="12:47" hidden="1" x14ac:dyDescent="0.25">
      <c r="L519" s="2" t="str">
        <f t="shared" si="87"/>
        <v/>
      </c>
      <c r="M519" s="45">
        <f t="shared" si="86"/>
        <v>41</v>
      </c>
      <c r="N519" s="36">
        <v>499</v>
      </c>
      <c r="O519" s="91">
        <f t="shared" si="80"/>
        <v>0</v>
      </c>
      <c r="P519" s="38">
        <f t="shared" si="81"/>
        <v>0</v>
      </c>
      <c r="W519" s="26">
        <f t="shared" si="82"/>
        <v>0</v>
      </c>
      <c r="X519" s="5">
        <f t="shared" si="83"/>
        <v>0</v>
      </c>
      <c r="Y519" s="5"/>
      <c r="AA519" s="63">
        <f t="shared" si="84"/>
        <v>0</v>
      </c>
      <c r="AB519" s="5">
        <f t="shared" si="85"/>
        <v>0</v>
      </c>
      <c r="AP519" s="3">
        <v>506</v>
      </c>
      <c r="AR519" s="14">
        <f t="shared" si="79"/>
        <v>0</v>
      </c>
      <c r="AS519" s="17" t="e">
        <f>IF(OR(AS518=0,AS518&gt;=#REF!),0,FV($O$1,AP519,-#REF!,0,1))</f>
        <v>#REF!</v>
      </c>
      <c r="AU519" s="5">
        <f t="shared" si="78"/>
        <v>0</v>
      </c>
    </row>
    <row r="520" spans="12:47" hidden="1" x14ac:dyDescent="0.25">
      <c r="L520" s="2" t="str">
        <f t="shared" si="87"/>
        <v/>
      </c>
      <c r="M520" s="45">
        <f t="shared" si="86"/>
        <v>41</v>
      </c>
      <c r="N520" s="36">
        <v>500</v>
      </c>
      <c r="O520" s="91">
        <f t="shared" si="80"/>
        <v>0</v>
      </c>
      <c r="P520" s="38">
        <f t="shared" si="81"/>
        <v>0</v>
      </c>
      <c r="W520" s="26">
        <f t="shared" si="82"/>
        <v>0</v>
      </c>
      <c r="X520" s="5">
        <f t="shared" si="83"/>
        <v>0</v>
      </c>
      <c r="Y520" s="5"/>
      <c r="AA520" s="63">
        <f t="shared" si="84"/>
        <v>0</v>
      </c>
      <c r="AB520" s="5">
        <f t="shared" si="85"/>
        <v>0</v>
      </c>
      <c r="AP520" s="3">
        <v>507</v>
      </c>
      <c r="AR520" s="14">
        <f t="shared" si="79"/>
        <v>0</v>
      </c>
      <c r="AS520" s="17" t="e">
        <f>IF(OR(AS519=0,AS519&gt;=#REF!),0,FV($O$1,AP520,-#REF!,0,1))</f>
        <v>#REF!</v>
      </c>
      <c r="AU520" s="5">
        <f t="shared" si="78"/>
        <v>0</v>
      </c>
    </row>
    <row r="521" spans="12:47" hidden="1" x14ac:dyDescent="0.25">
      <c r="L521" s="2" t="str">
        <f t="shared" si="87"/>
        <v/>
      </c>
      <c r="M521" s="45">
        <f t="shared" si="86"/>
        <v>41</v>
      </c>
      <c r="N521" s="36">
        <v>501</v>
      </c>
      <c r="O521" s="91">
        <f t="shared" si="80"/>
        <v>0</v>
      </c>
      <c r="P521" s="38">
        <f t="shared" si="81"/>
        <v>0</v>
      </c>
      <c r="W521" s="26">
        <f t="shared" si="82"/>
        <v>0</v>
      </c>
      <c r="X521" s="5">
        <f t="shared" si="83"/>
        <v>0</v>
      </c>
      <c r="Y521" s="5"/>
      <c r="AA521" s="63">
        <f t="shared" si="84"/>
        <v>0</v>
      </c>
      <c r="AB521" s="5">
        <f t="shared" si="85"/>
        <v>0</v>
      </c>
      <c r="AP521" s="3">
        <v>508</v>
      </c>
      <c r="AR521" s="14">
        <f t="shared" si="79"/>
        <v>0</v>
      </c>
      <c r="AS521" s="17" t="e">
        <f>IF(OR(AS520=0,AS520&gt;=#REF!),0,FV($O$1,AP521,-#REF!,0,1))</f>
        <v>#REF!</v>
      </c>
      <c r="AU521" s="5">
        <f t="shared" si="78"/>
        <v>0</v>
      </c>
    </row>
    <row r="522" spans="12:47" hidden="1" x14ac:dyDescent="0.25">
      <c r="L522" s="2" t="str">
        <f t="shared" si="87"/>
        <v/>
      </c>
      <c r="M522" s="45">
        <f t="shared" si="86"/>
        <v>41</v>
      </c>
      <c r="N522" s="36">
        <v>502</v>
      </c>
      <c r="O522" s="91">
        <f t="shared" si="80"/>
        <v>0</v>
      </c>
      <c r="P522" s="38">
        <f t="shared" si="81"/>
        <v>0</v>
      </c>
      <c r="W522" s="26">
        <f t="shared" si="82"/>
        <v>0</v>
      </c>
      <c r="X522" s="5">
        <f t="shared" si="83"/>
        <v>0</v>
      </c>
      <c r="Y522" s="5"/>
      <c r="AA522" s="63">
        <f t="shared" si="84"/>
        <v>0</v>
      </c>
      <c r="AB522" s="5">
        <f t="shared" si="85"/>
        <v>0</v>
      </c>
      <c r="AP522" s="3">
        <v>509</v>
      </c>
      <c r="AR522" s="14">
        <f t="shared" si="79"/>
        <v>0</v>
      </c>
      <c r="AS522" s="17" t="e">
        <f>IF(OR(AS521=0,AS521&gt;=#REF!),0,FV($O$1,AP522,-#REF!,0,1))</f>
        <v>#REF!</v>
      </c>
      <c r="AU522" s="5">
        <f t="shared" si="78"/>
        <v>0</v>
      </c>
    </row>
    <row r="523" spans="12:47" hidden="1" x14ac:dyDescent="0.25">
      <c r="L523" s="2" t="str">
        <f t="shared" si="87"/>
        <v/>
      </c>
      <c r="M523" s="45">
        <f t="shared" si="86"/>
        <v>41</v>
      </c>
      <c r="N523" s="36">
        <v>503</v>
      </c>
      <c r="O523" s="91">
        <f t="shared" si="80"/>
        <v>0</v>
      </c>
      <c r="P523" s="38">
        <f t="shared" si="81"/>
        <v>0</v>
      </c>
      <c r="W523" s="26">
        <f t="shared" si="82"/>
        <v>0</v>
      </c>
      <c r="X523" s="5">
        <f t="shared" si="83"/>
        <v>0</v>
      </c>
      <c r="Y523" s="5"/>
      <c r="AA523" s="63">
        <f t="shared" si="84"/>
        <v>0</v>
      </c>
      <c r="AB523" s="5">
        <f t="shared" si="85"/>
        <v>0</v>
      </c>
      <c r="AP523" s="3">
        <v>510</v>
      </c>
      <c r="AR523" s="14">
        <f t="shared" si="79"/>
        <v>0</v>
      </c>
      <c r="AS523" s="17" t="e">
        <f>IF(OR(AS522=0,AS522&gt;=#REF!),0,FV($O$1,AP523,-#REF!,0,1))</f>
        <v>#REF!</v>
      </c>
      <c r="AU523" s="5">
        <f t="shared" si="78"/>
        <v>0</v>
      </c>
    </row>
    <row r="524" spans="12:47" hidden="1" x14ac:dyDescent="0.25">
      <c r="L524" s="2" t="str">
        <f t="shared" si="87"/>
        <v/>
      </c>
      <c r="M524" s="45">
        <f t="shared" si="86"/>
        <v>41</v>
      </c>
      <c r="N524" s="36">
        <v>504</v>
      </c>
      <c r="O524" s="91">
        <f t="shared" si="80"/>
        <v>0</v>
      </c>
      <c r="P524" s="38">
        <f t="shared" si="81"/>
        <v>0</v>
      </c>
      <c r="W524" s="26">
        <f t="shared" si="82"/>
        <v>0</v>
      </c>
      <c r="X524" s="5">
        <f t="shared" si="83"/>
        <v>0</v>
      </c>
      <c r="Y524" s="5"/>
      <c r="AA524" s="63">
        <f t="shared" si="84"/>
        <v>0</v>
      </c>
      <c r="AB524" s="5">
        <f t="shared" si="85"/>
        <v>0</v>
      </c>
      <c r="AP524" s="3">
        <v>511</v>
      </c>
      <c r="AR524" s="14">
        <f t="shared" si="79"/>
        <v>0</v>
      </c>
      <c r="AS524" s="17" t="e">
        <f>IF(OR(AS523=0,AS523&gt;=#REF!),0,FV($O$1,AP524,-#REF!,0,1))</f>
        <v>#REF!</v>
      </c>
      <c r="AU524" s="5">
        <f t="shared" si="78"/>
        <v>0</v>
      </c>
    </row>
    <row r="525" spans="12:47" hidden="1" x14ac:dyDescent="0.25">
      <c r="L525" s="2" t="str">
        <f t="shared" si="87"/>
        <v/>
      </c>
      <c r="M525" s="45">
        <f t="shared" si="86"/>
        <v>42</v>
      </c>
      <c r="N525" s="36">
        <v>505</v>
      </c>
      <c r="O525" s="91">
        <f t="shared" si="80"/>
        <v>0</v>
      </c>
      <c r="P525" s="38">
        <f t="shared" si="81"/>
        <v>0</v>
      </c>
      <c r="W525" s="26">
        <f t="shared" si="82"/>
        <v>0</v>
      </c>
      <c r="X525" s="5">
        <f t="shared" si="83"/>
        <v>0</v>
      </c>
      <c r="Y525" s="5"/>
      <c r="AA525" s="63">
        <f t="shared" si="84"/>
        <v>0</v>
      </c>
      <c r="AB525" s="5">
        <f t="shared" si="85"/>
        <v>0</v>
      </c>
      <c r="AP525" s="3">
        <v>512</v>
      </c>
      <c r="AR525" s="14">
        <f t="shared" si="79"/>
        <v>0</v>
      </c>
      <c r="AS525" s="17" t="e">
        <f>IF(OR(AS524=0,AS524&gt;=#REF!),0,FV($O$1,AP525,-#REF!,0,1))</f>
        <v>#REF!</v>
      </c>
      <c r="AU525" s="5">
        <f t="shared" si="78"/>
        <v>0</v>
      </c>
    </row>
    <row r="526" spans="12:47" hidden="1" x14ac:dyDescent="0.25">
      <c r="L526" s="2" t="str">
        <f t="shared" si="87"/>
        <v/>
      </c>
      <c r="M526" s="45">
        <f t="shared" si="86"/>
        <v>42</v>
      </c>
      <c r="N526" s="36">
        <v>506</v>
      </c>
      <c r="O526" s="91">
        <f t="shared" si="80"/>
        <v>0</v>
      </c>
      <c r="P526" s="38">
        <f t="shared" si="81"/>
        <v>0</v>
      </c>
      <c r="W526" s="26">
        <f t="shared" si="82"/>
        <v>0</v>
      </c>
      <c r="X526" s="5">
        <f t="shared" si="83"/>
        <v>0</v>
      </c>
      <c r="Y526" s="5"/>
      <c r="AA526" s="63">
        <f t="shared" si="84"/>
        <v>0</v>
      </c>
      <c r="AB526" s="5">
        <f t="shared" si="85"/>
        <v>0</v>
      </c>
      <c r="AP526" s="3">
        <v>513</v>
      </c>
      <c r="AR526" s="14">
        <f t="shared" si="79"/>
        <v>0</v>
      </c>
      <c r="AS526" s="17" t="e">
        <f>IF(OR(AS525=0,AS525&gt;=#REF!),0,FV($O$1,AP526,-#REF!,0,1))</f>
        <v>#REF!</v>
      </c>
      <c r="AU526" s="5">
        <f t="shared" si="78"/>
        <v>0</v>
      </c>
    </row>
    <row r="527" spans="12:47" hidden="1" x14ac:dyDescent="0.25">
      <c r="L527" s="2" t="str">
        <f t="shared" si="87"/>
        <v/>
      </c>
      <c r="M527" s="45">
        <f t="shared" si="86"/>
        <v>42</v>
      </c>
      <c r="N527" s="36">
        <v>507</v>
      </c>
      <c r="O527" s="91">
        <f t="shared" si="80"/>
        <v>0</v>
      </c>
      <c r="P527" s="38">
        <f t="shared" si="81"/>
        <v>0</v>
      </c>
      <c r="W527" s="26">
        <f t="shared" si="82"/>
        <v>0</v>
      </c>
      <c r="X527" s="5">
        <f t="shared" si="83"/>
        <v>0</v>
      </c>
      <c r="Y527" s="5"/>
      <c r="AA527" s="63">
        <f t="shared" si="84"/>
        <v>0</v>
      </c>
      <c r="AB527" s="5">
        <f t="shared" si="85"/>
        <v>0</v>
      </c>
      <c r="AP527" s="3">
        <v>514</v>
      </c>
      <c r="AR527" s="14">
        <f t="shared" si="79"/>
        <v>0</v>
      </c>
      <c r="AS527" s="17" t="e">
        <f>IF(OR(AS526=0,AS526&gt;=#REF!),0,FV($O$1,AP527,-#REF!,0,1))</f>
        <v>#REF!</v>
      </c>
      <c r="AU527" s="5">
        <f t="shared" ref="AU527:AU590" si="88">X534</f>
        <v>0</v>
      </c>
    </row>
    <row r="528" spans="12:47" hidden="1" x14ac:dyDescent="0.25">
      <c r="L528" s="2" t="str">
        <f t="shared" si="87"/>
        <v/>
      </c>
      <c r="M528" s="45">
        <f t="shared" si="86"/>
        <v>42</v>
      </c>
      <c r="N528" s="36">
        <v>508</v>
      </c>
      <c r="O528" s="91">
        <f t="shared" si="80"/>
        <v>0</v>
      </c>
      <c r="P528" s="38">
        <f t="shared" si="81"/>
        <v>0</v>
      </c>
      <c r="W528" s="26">
        <f t="shared" si="82"/>
        <v>0</v>
      </c>
      <c r="X528" s="5">
        <f t="shared" si="83"/>
        <v>0</v>
      </c>
      <c r="Y528" s="5"/>
      <c r="AA528" s="63">
        <f t="shared" si="84"/>
        <v>0</v>
      </c>
      <c r="AB528" s="5">
        <f t="shared" si="85"/>
        <v>0</v>
      </c>
      <c r="AP528" s="3">
        <v>515</v>
      </c>
      <c r="AR528" s="14">
        <f t="shared" si="79"/>
        <v>0</v>
      </c>
      <c r="AS528" s="17" t="e">
        <f>IF(OR(AS527=0,AS527&gt;=#REF!),0,FV($O$1,AP528,-#REF!,0,1))</f>
        <v>#REF!</v>
      </c>
      <c r="AU528" s="5">
        <f t="shared" si="88"/>
        <v>0</v>
      </c>
    </row>
    <row r="529" spans="12:47" hidden="1" x14ac:dyDescent="0.25">
      <c r="L529" s="2" t="str">
        <f t="shared" si="87"/>
        <v/>
      </c>
      <c r="M529" s="45">
        <f t="shared" si="86"/>
        <v>42</v>
      </c>
      <c r="N529" s="36">
        <v>509</v>
      </c>
      <c r="O529" s="91">
        <f t="shared" si="80"/>
        <v>0</v>
      </c>
      <c r="P529" s="38">
        <f t="shared" si="81"/>
        <v>0</v>
      </c>
      <c r="W529" s="26">
        <f t="shared" si="82"/>
        <v>0</v>
      </c>
      <c r="X529" s="5">
        <f t="shared" si="83"/>
        <v>0</v>
      </c>
      <c r="Y529" s="5"/>
      <c r="AA529" s="63">
        <f t="shared" si="84"/>
        <v>0</v>
      </c>
      <c r="AB529" s="5">
        <f t="shared" si="85"/>
        <v>0</v>
      </c>
      <c r="AP529" s="3">
        <v>516</v>
      </c>
      <c r="AR529" s="14">
        <f t="shared" si="79"/>
        <v>0</v>
      </c>
      <c r="AS529" s="17" t="e">
        <f>IF(OR(AS528=0,AS528&gt;=#REF!),0,FV($O$1,AP529,-#REF!,0,1))</f>
        <v>#REF!</v>
      </c>
      <c r="AU529" s="5">
        <f t="shared" si="88"/>
        <v>0</v>
      </c>
    </row>
    <row r="530" spans="12:47" hidden="1" x14ac:dyDescent="0.25">
      <c r="L530" s="2" t="str">
        <f t="shared" si="87"/>
        <v/>
      </c>
      <c r="M530" s="45">
        <f t="shared" si="86"/>
        <v>42</v>
      </c>
      <c r="N530" s="36">
        <v>510</v>
      </c>
      <c r="O530" s="91">
        <f t="shared" si="80"/>
        <v>0</v>
      </c>
      <c r="P530" s="38">
        <f t="shared" si="81"/>
        <v>0</v>
      </c>
      <c r="W530" s="26">
        <f t="shared" si="82"/>
        <v>0</v>
      </c>
      <c r="X530" s="5">
        <f t="shared" si="83"/>
        <v>0</v>
      </c>
      <c r="Y530" s="5"/>
      <c r="AA530" s="63">
        <f t="shared" si="84"/>
        <v>0</v>
      </c>
      <c r="AB530" s="5">
        <f t="shared" si="85"/>
        <v>0</v>
      </c>
      <c r="AP530" s="3">
        <v>517</v>
      </c>
      <c r="AR530" s="14">
        <f t="shared" ref="AR530:AR593" si="89">IF(AP530&lt;=$X$3,FV($O$1,AP530,-$X$5,0,1),0)</f>
        <v>0</v>
      </c>
      <c r="AS530" s="17" t="e">
        <f>IF(OR(AS529=0,AS529&gt;=#REF!),0,FV($O$1,AP530,-#REF!,0,1))</f>
        <v>#REF!</v>
      </c>
      <c r="AU530" s="5">
        <f t="shared" si="88"/>
        <v>0</v>
      </c>
    </row>
    <row r="531" spans="12:47" hidden="1" x14ac:dyDescent="0.25">
      <c r="L531" s="2" t="str">
        <f t="shared" si="87"/>
        <v/>
      </c>
      <c r="M531" s="45">
        <f t="shared" si="86"/>
        <v>42</v>
      </c>
      <c r="N531" s="36">
        <v>511</v>
      </c>
      <c r="O531" s="91">
        <f t="shared" si="80"/>
        <v>0</v>
      </c>
      <c r="P531" s="38">
        <f t="shared" si="81"/>
        <v>0</v>
      </c>
      <c r="W531" s="26">
        <f t="shared" si="82"/>
        <v>0</v>
      </c>
      <c r="X531" s="5">
        <f t="shared" si="83"/>
        <v>0</v>
      </c>
      <c r="Y531" s="5"/>
      <c r="AA531" s="63">
        <f t="shared" si="84"/>
        <v>0</v>
      </c>
      <c r="AB531" s="5">
        <f t="shared" si="85"/>
        <v>0</v>
      </c>
      <c r="AP531" s="3">
        <v>518</v>
      </c>
      <c r="AR531" s="14">
        <f t="shared" si="89"/>
        <v>0</v>
      </c>
      <c r="AS531" s="17" t="e">
        <f>IF(OR(AS530=0,AS530&gt;=#REF!),0,FV($O$1,AP531,-#REF!,0,1))</f>
        <v>#REF!</v>
      </c>
      <c r="AU531" s="5">
        <f t="shared" si="88"/>
        <v>0</v>
      </c>
    </row>
    <row r="532" spans="12:47" hidden="1" x14ac:dyDescent="0.25">
      <c r="L532" s="2" t="str">
        <f t="shared" si="87"/>
        <v/>
      </c>
      <c r="M532" s="45">
        <f t="shared" si="86"/>
        <v>42</v>
      </c>
      <c r="N532" s="36">
        <v>512</v>
      </c>
      <c r="O532" s="91">
        <f t="shared" si="80"/>
        <v>0</v>
      </c>
      <c r="P532" s="38">
        <f t="shared" si="81"/>
        <v>0</v>
      </c>
      <c r="W532" s="26">
        <f t="shared" si="82"/>
        <v>0</v>
      </c>
      <c r="X532" s="5">
        <f t="shared" si="83"/>
        <v>0</v>
      </c>
      <c r="Y532" s="5"/>
      <c r="AA532" s="63">
        <f t="shared" si="84"/>
        <v>0</v>
      </c>
      <c r="AB532" s="5">
        <f t="shared" si="85"/>
        <v>0</v>
      </c>
      <c r="AP532" s="3">
        <v>519</v>
      </c>
      <c r="AR532" s="14">
        <f t="shared" si="89"/>
        <v>0</v>
      </c>
      <c r="AS532" s="17" t="e">
        <f>IF(OR(AS531=0,AS531&gt;=#REF!),0,FV($O$1,AP532,-#REF!,0,1))</f>
        <v>#REF!</v>
      </c>
      <c r="AU532" s="5">
        <f t="shared" si="88"/>
        <v>0</v>
      </c>
    </row>
    <row r="533" spans="12:47" hidden="1" x14ac:dyDescent="0.25">
      <c r="L533" s="2" t="str">
        <f t="shared" si="87"/>
        <v/>
      </c>
      <c r="M533" s="45">
        <f t="shared" si="86"/>
        <v>42</v>
      </c>
      <c r="N533" s="36">
        <v>513</v>
      </c>
      <c r="O533" s="91">
        <f t="shared" ref="O533:O596" si="90">IF(N533&lt;=InvMonths,SU_Amt*(1+GRate)^M533,0)</f>
        <v>0</v>
      </c>
      <c r="P533" s="38">
        <f t="shared" ref="P533:P596" si="91">FV(SIPRate,InvMonths-N533+1,0,-O533,1)</f>
        <v>0</v>
      </c>
      <c r="W533" s="26">
        <f t="shared" ref="W533:W596" si="92">IF(N533&lt;=InvMonths,$X$18,0)</f>
        <v>0</v>
      </c>
      <c r="X533" s="5">
        <f t="shared" ref="X533:X596" si="93">FV(SIPRate,(InvMonths-N533+1),0,-W533,1)</f>
        <v>0</v>
      </c>
      <c r="Y533" s="5"/>
      <c r="AA533" s="63">
        <f t="shared" ref="AA533:AA596" si="94">IF(N533&lt;=InvMonths,$AB$18*(1+$C$32)^M533,0)</f>
        <v>0</v>
      </c>
      <c r="AB533" s="5">
        <f t="shared" ref="AB533:AB596" si="95">FV(SIPRate,(InvMonths-N533+1),0,-AA533,1)</f>
        <v>0</v>
      </c>
      <c r="AP533" s="3">
        <v>520</v>
      </c>
      <c r="AR533" s="14">
        <f t="shared" si="89"/>
        <v>0</v>
      </c>
      <c r="AS533" s="17" t="e">
        <f>IF(OR(AS532=0,AS532&gt;=#REF!),0,FV($O$1,AP533,-#REF!,0,1))</f>
        <v>#REF!</v>
      </c>
      <c r="AU533" s="5">
        <f t="shared" si="88"/>
        <v>0</v>
      </c>
    </row>
    <row r="534" spans="12:47" hidden="1" x14ac:dyDescent="0.25">
      <c r="L534" s="2" t="str">
        <f t="shared" si="87"/>
        <v/>
      </c>
      <c r="M534" s="45">
        <f t="shared" ref="M534:M597" si="96">IF(MOD(N534,12)=0,(N534/12)-1,QUOTIENT(N534,12))</f>
        <v>42</v>
      </c>
      <c r="N534" s="36">
        <v>514</v>
      </c>
      <c r="O534" s="91">
        <f t="shared" si="90"/>
        <v>0</v>
      </c>
      <c r="P534" s="38">
        <f t="shared" si="91"/>
        <v>0</v>
      </c>
      <c r="W534" s="26">
        <f t="shared" si="92"/>
        <v>0</v>
      </c>
      <c r="X534" s="5">
        <f t="shared" si="93"/>
        <v>0</v>
      </c>
      <c r="Y534" s="5"/>
      <c r="AA534" s="63">
        <f t="shared" si="94"/>
        <v>0</v>
      </c>
      <c r="AB534" s="5">
        <f t="shared" si="95"/>
        <v>0</v>
      </c>
      <c r="AP534" s="3">
        <v>521</v>
      </c>
      <c r="AR534" s="14">
        <f t="shared" si="89"/>
        <v>0</v>
      </c>
      <c r="AS534" s="17" t="e">
        <f>IF(OR(AS533=0,AS533&gt;=#REF!),0,FV($O$1,AP534,-#REF!,0,1))</f>
        <v>#REF!</v>
      </c>
      <c r="AU534" s="5">
        <f t="shared" si="88"/>
        <v>0</v>
      </c>
    </row>
    <row r="535" spans="12:47" hidden="1" x14ac:dyDescent="0.25">
      <c r="L535" s="2" t="str">
        <f t="shared" si="87"/>
        <v/>
      </c>
      <c r="M535" s="45">
        <f t="shared" si="96"/>
        <v>42</v>
      </c>
      <c r="N535" s="36">
        <v>515</v>
      </c>
      <c r="O535" s="91">
        <f t="shared" si="90"/>
        <v>0</v>
      </c>
      <c r="P535" s="38">
        <f t="shared" si="91"/>
        <v>0</v>
      </c>
      <c r="W535" s="26">
        <f t="shared" si="92"/>
        <v>0</v>
      </c>
      <c r="X535" s="5">
        <f t="shared" si="93"/>
        <v>0</v>
      </c>
      <c r="Y535" s="5"/>
      <c r="AA535" s="63">
        <f t="shared" si="94"/>
        <v>0</v>
      </c>
      <c r="AB535" s="5">
        <f t="shared" si="95"/>
        <v>0</v>
      </c>
      <c r="AP535" s="3">
        <v>522</v>
      </c>
      <c r="AR535" s="14">
        <f t="shared" si="89"/>
        <v>0</v>
      </c>
      <c r="AS535" s="17" t="e">
        <f>IF(OR(AS534=0,AS534&gt;=#REF!),0,FV($O$1,AP535,-#REF!,0,1))</f>
        <v>#REF!</v>
      </c>
      <c r="AU535" s="5">
        <f t="shared" si="88"/>
        <v>0</v>
      </c>
    </row>
    <row r="536" spans="12:47" hidden="1" x14ac:dyDescent="0.25">
      <c r="L536" s="2" t="str">
        <f t="shared" si="87"/>
        <v/>
      </c>
      <c r="M536" s="45">
        <f t="shared" si="96"/>
        <v>42</v>
      </c>
      <c r="N536" s="36">
        <v>516</v>
      </c>
      <c r="O536" s="91">
        <f t="shared" si="90"/>
        <v>0</v>
      </c>
      <c r="P536" s="38">
        <f t="shared" si="91"/>
        <v>0</v>
      </c>
      <c r="W536" s="26">
        <f t="shared" si="92"/>
        <v>0</v>
      </c>
      <c r="X536" s="5">
        <f t="shared" si="93"/>
        <v>0</v>
      </c>
      <c r="Y536" s="5"/>
      <c r="AA536" s="63">
        <f t="shared" si="94"/>
        <v>0</v>
      </c>
      <c r="AB536" s="5">
        <f t="shared" si="95"/>
        <v>0</v>
      </c>
      <c r="AP536" s="3">
        <v>523</v>
      </c>
      <c r="AR536" s="14">
        <f t="shared" si="89"/>
        <v>0</v>
      </c>
      <c r="AS536" s="17" t="e">
        <f>IF(OR(AS535=0,AS535&gt;=#REF!),0,FV($O$1,AP536,-#REF!,0,1))</f>
        <v>#REF!</v>
      </c>
      <c r="AU536" s="5">
        <f t="shared" si="88"/>
        <v>0</v>
      </c>
    </row>
    <row r="537" spans="12:47" hidden="1" x14ac:dyDescent="0.25">
      <c r="L537" s="2" t="str">
        <f t="shared" si="87"/>
        <v/>
      </c>
      <c r="M537" s="45">
        <f t="shared" si="96"/>
        <v>43</v>
      </c>
      <c r="N537" s="36">
        <v>517</v>
      </c>
      <c r="O537" s="91">
        <f t="shared" si="90"/>
        <v>0</v>
      </c>
      <c r="P537" s="38">
        <f t="shared" si="91"/>
        <v>0</v>
      </c>
      <c r="W537" s="26">
        <f t="shared" si="92"/>
        <v>0</v>
      </c>
      <c r="X537" s="5">
        <f t="shared" si="93"/>
        <v>0</v>
      </c>
      <c r="Y537" s="5"/>
      <c r="AA537" s="63">
        <f t="shared" si="94"/>
        <v>0</v>
      </c>
      <c r="AB537" s="5">
        <f t="shared" si="95"/>
        <v>0</v>
      </c>
      <c r="AP537" s="3">
        <v>524</v>
      </c>
      <c r="AR537" s="14">
        <f t="shared" si="89"/>
        <v>0</v>
      </c>
      <c r="AS537" s="17" t="e">
        <f>IF(OR(AS536=0,AS536&gt;=#REF!),0,FV($O$1,AP537,-#REF!,0,1))</f>
        <v>#REF!</v>
      </c>
      <c r="AU537" s="5">
        <f t="shared" si="88"/>
        <v>0</v>
      </c>
    </row>
    <row r="538" spans="12:47" hidden="1" x14ac:dyDescent="0.25">
      <c r="L538" s="2" t="str">
        <f t="shared" si="87"/>
        <v/>
      </c>
      <c r="M538" s="45">
        <f t="shared" si="96"/>
        <v>43</v>
      </c>
      <c r="N538" s="36">
        <v>518</v>
      </c>
      <c r="O538" s="91">
        <f t="shared" si="90"/>
        <v>0</v>
      </c>
      <c r="P538" s="38">
        <f t="shared" si="91"/>
        <v>0</v>
      </c>
      <c r="W538" s="26">
        <f t="shared" si="92"/>
        <v>0</v>
      </c>
      <c r="X538" s="5">
        <f t="shared" si="93"/>
        <v>0</v>
      </c>
      <c r="Y538" s="5"/>
      <c r="AA538" s="63">
        <f t="shared" si="94"/>
        <v>0</v>
      </c>
      <c r="AB538" s="5">
        <f t="shared" si="95"/>
        <v>0</v>
      </c>
      <c r="AP538" s="3">
        <v>525</v>
      </c>
      <c r="AR538" s="14">
        <f t="shared" si="89"/>
        <v>0</v>
      </c>
      <c r="AS538" s="17" t="e">
        <f>IF(OR(AS537=0,AS537&gt;=#REF!),0,FV($O$1,AP538,-#REF!,0,1))</f>
        <v>#REF!</v>
      </c>
      <c r="AU538" s="5">
        <f t="shared" si="88"/>
        <v>0</v>
      </c>
    </row>
    <row r="539" spans="12:47" hidden="1" x14ac:dyDescent="0.25">
      <c r="L539" s="2" t="str">
        <f t="shared" si="87"/>
        <v/>
      </c>
      <c r="M539" s="45">
        <f t="shared" si="96"/>
        <v>43</v>
      </c>
      <c r="N539" s="36">
        <v>519</v>
      </c>
      <c r="O539" s="91">
        <f t="shared" si="90"/>
        <v>0</v>
      </c>
      <c r="P539" s="38">
        <f t="shared" si="91"/>
        <v>0</v>
      </c>
      <c r="W539" s="26">
        <f t="shared" si="92"/>
        <v>0</v>
      </c>
      <c r="X539" s="5">
        <f t="shared" si="93"/>
        <v>0</v>
      </c>
      <c r="Y539" s="5"/>
      <c r="AA539" s="63">
        <f t="shared" si="94"/>
        <v>0</v>
      </c>
      <c r="AB539" s="5">
        <f t="shared" si="95"/>
        <v>0</v>
      </c>
      <c r="AP539" s="3">
        <v>526</v>
      </c>
      <c r="AR539" s="14">
        <f t="shared" si="89"/>
        <v>0</v>
      </c>
      <c r="AS539" s="17" t="e">
        <f>IF(OR(AS538=0,AS538&gt;=#REF!),0,FV($O$1,AP539,-#REF!,0,1))</f>
        <v>#REF!</v>
      </c>
      <c r="AU539" s="5">
        <f t="shared" si="88"/>
        <v>0</v>
      </c>
    </row>
    <row r="540" spans="12:47" hidden="1" x14ac:dyDescent="0.25">
      <c r="L540" s="2" t="str">
        <f t="shared" si="87"/>
        <v/>
      </c>
      <c r="M540" s="45">
        <f t="shared" si="96"/>
        <v>43</v>
      </c>
      <c r="N540" s="36">
        <v>520</v>
      </c>
      <c r="O540" s="91">
        <f t="shared" si="90"/>
        <v>0</v>
      </c>
      <c r="P540" s="38">
        <f t="shared" si="91"/>
        <v>0</v>
      </c>
      <c r="W540" s="26">
        <f t="shared" si="92"/>
        <v>0</v>
      </c>
      <c r="X540" s="5">
        <f t="shared" si="93"/>
        <v>0</v>
      </c>
      <c r="Y540" s="5"/>
      <c r="AA540" s="63">
        <f t="shared" si="94"/>
        <v>0</v>
      </c>
      <c r="AB540" s="5">
        <f t="shared" si="95"/>
        <v>0</v>
      </c>
      <c r="AP540" s="3">
        <v>527</v>
      </c>
      <c r="AR540" s="14">
        <f t="shared" si="89"/>
        <v>0</v>
      </c>
      <c r="AS540" s="17" t="e">
        <f>IF(OR(AS539=0,AS539&gt;=#REF!),0,FV($O$1,AP540,-#REF!,0,1))</f>
        <v>#REF!</v>
      </c>
      <c r="AU540" s="5">
        <f t="shared" si="88"/>
        <v>0</v>
      </c>
    </row>
    <row r="541" spans="12:47" hidden="1" x14ac:dyDescent="0.25">
      <c r="L541" s="2" t="str">
        <f t="shared" si="87"/>
        <v/>
      </c>
      <c r="M541" s="45">
        <f t="shared" si="96"/>
        <v>43</v>
      </c>
      <c r="N541" s="36">
        <v>521</v>
      </c>
      <c r="O541" s="91">
        <f t="shared" si="90"/>
        <v>0</v>
      </c>
      <c r="P541" s="38">
        <f t="shared" si="91"/>
        <v>0</v>
      </c>
      <c r="W541" s="26">
        <f t="shared" si="92"/>
        <v>0</v>
      </c>
      <c r="X541" s="5">
        <f t="shared" si="93"/>
        <v>0</v>
      </c>
      <c r="Y541" s="5"/>
      <c r="AA541" s="63">
        <f t="shared" si="94"/>
        <v>0</v>
      </c>
      <c r="AB541" s="5">
        <f t="shared" si="95"/>
        <v>0</v>
      </c>
      <c r="AP541" s="3">
        <v>528</v>
      </c>
      <c r="AR541" s="14">
        <f t="shared" si="89"/>
        <v>0</v>
      </c>
      <c r="AS541" s="17" t="e">
        <f>IF(OR(AS540=0,AS540&gt;=#REF!),0,FV($O$1,AP541,-#REF!,0,1))</f>
        <v>#REF!</v>
      </c>
      <c r="AU541" s="5">
        <f t="shared" si="88"/>
        <v>0</v>
      </c>
    </row>
    <row r="542" spans="12:47" hidden="1" x14ac:dyDescent="0.25">
      <c r="L542" s="2" t="str">
        <f t="shared" ref="L542:L605" si="97">IF(MOD(M542,12)=0,M542/12,"")</f>
        <v/>
      </c>
      <c r="M542" s="45">
        <f t="shared" si="96"/>
        <v>43</v>
      </c>
      <c r="N542" s="36">
        <v>522</v>
      </c>
      <c r="O542" s="91">
        <f t="shared" si="90"/>
        <v>0</v>
      </c>
      <c r="P542" s="38">
        <f t="shared" si="91"/>
        <v>0</v>
      </c>
      <c r="W542" s="26">
        <f t="shared" si="92"/>
        <v>0</v>
      </c>
      <c r="X542" s="5">
        <f t="shared" si="93"/>
        <v>0</v>
      </c>
      <c r="Y542" s="5"/>
      <c r="AA542" s="63">
        <f t="shared" si="94"/>
        <v>0</v>
      </c>
      <c r="AB542" s="5">
        <f t="shared" si="95"/>
        <v>0</v>
      </c>
      <c r="AP542" s="3">
        <v>529</v>
      </c>
      <c r="AR542" s="14">
        <f t="shared" si="89"/>
        <v>0</v>
      </c>
      <c r="AS542" s="17" t="e">
        <f>IF(OR(AS541=0,AS541&gt;=#REF!),0,FV($O$1,AP542,-#REF!,0,1))</f>
        <v>#REF!</v>
      </c>
      <c r="AU542" s="5">
        <f t="shared" si="88"/>
        <v>0</v>
      </c>
    </row>
    <row r="543" spans="12:47" hidden="1" x14ac:dyDescent="0.25">
      <c r="L543" s="2" t="str">
        <f t="shared" si="97"/>
        <v/>
      </c>
      <c r="M543" s="45">
        <f t="shared" si="96"/>
        <v>43</v>
      </c>
      <c r="N543" s="36">
        <v>523</v>
      </c>
      <c r="O543" s="91">
        <f t="shared" si="90"/>
        <v>0</v>
      </c>
      <c r="P543" s="38">
        <f t="shared" si="91"/>
        <v>0</v>
      </c>
      <c r="W543" s="26">
        <f t="shared" si="92"/>
        <v>0</v>
      </c>
      <c r="X543" s="5">
        <f t="shared" si="93"/>
        <v>0</v>
      </c>
      <c r="Y543" s="5"/>
      <c r="AA543" s="63">
        <f t="shared" si="94"/>
        <v>0</v>
      </c>
      <c r="AB543" s="5">
        <f t="shared" si="95"/>
        <v>0</v>
      </c>
      <c r="AP543" s="3">
        <v>530</v>
      </c>
      <c r="AR543" s="14">
        <f t="shared" si="89"/>
        <v>0</v>
      </c>
      <c r="AS543" s="17" t="e">
        <f>IF(OR(AS542=0,AS542&gt;=#REF!),0,FV($O$1,AP543,-#REF!,0,1))</f>
        <v>#REF!</v>
      </c>
      <c r="AU543" s="5">
        <f t="shared" si="88"/>
        <v>0</v>
      </c>
    </row>
    <row r="544" spans="12:47" hidden="1" x14ac:dyDescent="0.25">
      <c r="L544" s="2" t="str">
        <f t="shared" si="97"/>
        <v/>
      </c>
      <c r="M544" s="45">
        <f t="shared" si="96"/>
        <v>43</v>
      </c>
      <c r="N544" s="36">
        <v>524</v>
      </c>
      <c r="O544" s="91">
        <f t="shared" si="90"/>
        <v>0</v>
      </c>
      <c r="P544" s="38">
        <f t="shared" si="91"/>
        <v>0</v>
      </c>
      <c r="W544" s="26">
        <f t="shared" si="92"/>
        <v>0</v>
      </c>
      <c r="X544" s="5">
        <f t="shared" si="93"/>
        <v>0</v>
      </c>
      <c r="Y544" s="5"/>
      <c r="AA544" s="63">
        <f t="shared" si="94"/>
        <v>0</v>
      </c>
      <c r="AB544" s="5">
        <f t="shared" si="95"/>
        <v>0</v>
      </c>
      <c r="AP544" s="3">
        <v>531</v>
      </c>
      <c r="AR544" s="14">
        <f t="shared" si="89"/>
        <v>0</v>
      </c>
      <c r="AS544" s="17" t="e">
        <f>IF(OR(AS543=0,AS543&gt;=#REF!),0,FV($O$1,AP544,-#REF!,0,1))</f>
        <v>#REF!</v>
      </c>
      <c r="AU544" s="5">
        <f t="shared" si="88"/>
        <v>0</v>
      </c>
    </row>
    <row r="545" spans="12:47" hidden="1" x14ac:dyDescent="0.25">
      <c r="L545" s="2" t="str">
        <f t="shared" si="97"/>
        <v/>
      </c>
      <c r="M545" s="45">
        <f t="shared" si="96"/>
        <v>43</v>
      </c>
      <c r="N545" s="36">
        <v>525</v>
      </c>
      <c r="O545" s="91">
        <f t="shared" si="90"/>
        <v>0</v>
      </c>
      <c r="P545" s="38">
        <f t="shared" si="91"/>
        <v>0</v>
      </c>
      <c r="W545" s="26">
        <f t="shared" si="92"/>
        <v>0</v>
      </c>
      <c r="X545" s="5">
        <f t="shared" si="93"/>
        <v>0</v>
      </c>
      <c r="Y545" s="5"/>
      <c r="AA545" s="63">
        <f t="shared" si="94"/>
        <v>0</v>
      </c>
      <c r="AB545" s="5">
        <f t="shared" si="95"/>
        <v>0</v>
      </c>
      <c r="AP545" s="3">
        <v>532</v>
      </c>
      <c r="AR545" s="14">
        <f t="shared" si="89"/>
        <v>0</v>
      </c>
      <c r="AS545" s="17" t="e">
        <f>IF(OR(AS544=0,AS544&gt;=#REF!),0,FV($O$1,AP545,-#REF!,0,1))</f>
        <v>#REF!</v>
      </c>
      <c r="AU545" s="5">
        <f t="shared" si="88"/>
        <v>0</v>
      </c>
    </row>
    <row r="546" spans="12:47" hidden="1" x14ac:dyDescent="0.25">
      <c r="L546" s="2" t="str">
        <f t="shared" si="97"/>
        <v/>
      </c>
      <c r="M546" s="45">
        <f t="shared" si="96"/>
        <v>43</v>
      </c>
      <c r="N546" s="36">
        <v>526</v>
      </c>
      <c r="O546" s="91">
        <f t="shared" si="90"/>
        <v>0</v>
      </c>
      <c r="P546" s="38">
        <f t="shared" si="91"/>
        <v>0</v>
      </c>
      <c r="W546" s="26">
        <f t="shared" si="92"/>
        <v>0</v>
      </c>
      <c r="X546" s="5">
        <f t="shared" si="93"/>
        <v>0</v>
      </c>
      <c r="Y546" s="5"/>
      <c r="AA546" s="63">
        <f t="shared" si="94"/>
        <v>0</v>
      </c>
      <c r="AB546" s="5">
        <f t="shared" si="95"/>
        <v>0</v>
      </c>
      <c r="AP546" s="3">
        <v>533</v>
      </c>
      <c r="AR546" s="14">
        <f t="shared" si="89"/>
        <v>0</v>
      </c>
      <c r="AS546" s="17" t="e">
        <f>IF(OR(AS545=0,AS545&gt;=#REF!),0,FV($O$1,AP546,-#REF!,0,1))</f>
        <v>#REF!</v>
      </c>
      <c r="AU546" s="5">
        <f t="shared" si="88"/>
        <v>0</v>
      </c>
    </row>
    <row r="547" spans="12:47" hidden="1" x14ac:dyDescent="0.25">
      <c r="L547" s="2" t="str">
        <f t="shared" si="97"/>
        <v/>
      </c>
      <c r="M547" s="45">
        <f t="shared" si="96"/>
        <v>43</v>
      </c>
      <c r="N547" s="36">
        <v>527</v>
      </c>
      <c r="O547" s="91">
        <f t="shared" si="90"/>
        <v>0</v>
      </c>
      <c r="P547" s="38">
        <f t="shared" si="91"/>
        <v>0</v>
      </c>
      <c r="W547" s="26">
        <f t="shared" si="92"/>
        <v>0</v>
      </c>
      <c r="X547" s="5">
        <f t="shared" si="93"/>
        <v>0</v>
      </c>
      <c r="Y547" s="5"/>
      <c r="AA547" s="63">
        <f t="shared" si="94"/>
        <v>0</v>
      </c>
      <c r="AB547" s="5">
        <f t="shared" si="95"/>
        <v>0</v>
      </c>
      <c r="AP547" s="3">
        <v>534</v>
      </c>
      <c r="AR547" s="14">
        <f t="shared" si="89"/>
        <v>0</v>
      </c>
      <c r="AS547" s="17" t="e">
        <f>IF(OR(AS546=0,AS546&gt;=#REF!),0,FV($O$1,AP547,-#REF!,0,1))</f>
        <v>#REF!</v>
      </c>
      <c r="AU547" s="5">
        <f t="shared" si="88"/>
        <v>0</v>
      </c>
    </row>
    <row r="548" spans="12:47" hidden="1" x14ac:dyDescent="0.25">
      <c r="L548" s="2" t="str">
        <f t="shared" si="97"/>
        <v/>
      </c>
      <c r="M548" s="45">
        <f t="shared" si="96"/>
        <v>43</v>
      </c>
      <c r="N548" s="36">
        <v>528</v>
      </c>
      <c r="O548" s="91">
        <f t="shared" si="90"/>
        <v>0</v>
      </c>
      <c r="P548" s="38">
        <f t="shared" si="91"/>
        <v>0</v>
      </c>
      <c r="W548" s="26">
        <f t="shared" si="92"/>
        <v>0</v>
      </c>
      <c r="X548" s="5">
        <f t="shared" si="93"/>
        <v>0</v>
      </c>
      <c r="Y548" s="5"/>
      <c r="AA548" s="63">
        <f t="shared" si="94"/>
        <v>0</v>
      </c>
      <c r="AB548" s="5">
        <f t="shared" si="95"/>
        <v>0</v>
      </c>
      <c r="AP548" s="3">
        <v>535</v>
      </c>
      <c r="AR548" s="14">
        <f t="shared" si="89"/>
        <v>0</v>
      </c>
      <c r="AS548" s="17" t="e">
        <f>IF(OR(AS547=0,AS547&gt;=#REF!),0,FV($O$1,AP548,-#REF!,0,1))</f>
        <v>#REF!</v>
      </c>
      <c r="AU548" s="5">
        <f t="shared" si="88"/>
        <v>0</v>
      </c>
    </row>
    <row r="549" spans="12:47" hidden="1" x14ac:dyDescent="0.25">
      <c r="L549" s="2" t="str">
        <f t="shared" si="97"/>
        <v/>
      </c>
      <c r="M549" s="45">
        <f t="shared" si="96"/>
        <v>44</v>
      </c>
      <c r="N549" s="36">
        <v>529</v>
      </c>
      <c r="O549" s="91">
        <f t="shared" si="90"/>
        <v>0</v>
      </c>
      <c r="P549" s="38">
        <f t="shared" si="91"/>
        <v>0</v>
      </c>
      <c r="W549" s="26">
        <f t="shared" si="92"/>
        <v>0</v>
      </c>
      <c r="X549" s="5">
        <f t="shared" si="93"/>
        <v>0</v>
      </c>
      <c r="Y549" s="5"/>
      <c r="AA549" s="63">
        <f t="shared" si="94"/>
        <v>0</v>
      </c>
      <c r="AB549" s="5">
        <f t="shared" si="95"/>
        <v>0</v>
      </c>
      <c r="AP549" s="3">
        <v>536</v>
      </c>
      <c r="AR549" s="14">
        <f t="shared" si="89"/>
        <v>0</v>
      </c>
      <c r="AS549" s="17" t="e">
        <f>IF(OR(AS548=0,AS548&gt;=#REF!),0,FV($O$1,AP549,-#REF!,0,1))</f>
        <v>#REF!</v>
      </c>
      <c r="AU549" s="5">
        <f t="shared" si="88"/>
        <v>0</v>
      </c>
    </row>
    <row r="550" spans="12:47" hidden="1" x14ac:dyDescent="0.25">
      <c r="L550" s="2" t="str">
        <f t="shared" si="97"/>
        <v/>
      </c>
      <c r="M550" s="45">
        <f t="shared" si="96"/>
        <v>44</v>
      </c>
      <c r="N550" s="36">
        <v>530</v>
      </c>
      <c r="O550" s="91">
        <f t="shared" si="90"/>
        <v>0</v>
      </c>
      <c r="P550" s="38">
        <f t="shared" si="91"/>
        <v>0</v>
      </c>
      <c r="W550" s="26">
        <f t="shared" si="92"/>
        <v>0</v>
      </c>
      <c r="X550" s="5">
        <f t="shared" si="93"/>
        <v>0</v>
      </c>
      <c r="Y550" s="5"/>
      <c r="AA550" s="63">
        <f t="shared" si="94"/>
        <v>0</v>
      </c>
      <c r="AB550" s="5">
        <f t="shared" si="95"/>
        <v>0</v>
      </c>
      <c r="AP550" s="3">
        <v>537</v>
      </c>
      <c r="AR550" s="14">
        <f t="shared" si="89"/>
        <v>0</v>
      </c>
      <c r="AS550" s="17" t="e">
        <f>IF(OR(AS549=0,AS549&gt;=#REF!),0,FV($O$1,AP550,-#REF!,0,1))</f>
        <v>#REF!</v>
      </c>
      <c r="AU550" s="5">
        <f t="shared" si="88"/>
        <v>0</v>
      </c>
    </row>
    <row r="551" spans="12:47" hidden="1" x14ac:dyDescent="0.25">
      <c r="L551" s="2" t="str">
        <f t="shared" si="97"/>
        <v/>
      </c>
      <c r="M551" s="45">
        <f t="shared" si="96"/>
        <v>44</v>
      </c>
      <c r="N551" s="36">
        <v>531</v>
      </c>
      <c r="O551" s="91">
        <f t="shared" si="90"/>
        <v>0</v>
      </c>
      <c r="P551" s="38">
        <f t="shared" si="91"/>
        <v>0</v>
      </c>
      <c r="W551" s="26">
        <f t="shared" si="92"/>
        <v>0</v>
      </c>
      <c r="X551" s="5">
        <f t="shared" si="93"/>
        <v>0</v>
      </c>
      <c r="Y551" s="5"/>
      <c r="AA551" s="63">
        <f t="shared" si="94"/>
        <v>0</v>
      </c>
      <c r="AB551" s="5">
        <f t="shared" si="95"/>
        <v>0</v>
      </c>
      <c r="AP551" s="3">
        <v>538</v>
      </c>
      <c r="AR551" s="14">
        <f t="shared" si="89"/>
        <v>0</v>
      </c>
      <c r="AS551" s="17" t="e">
        <f>IF(OR(AS550=0,AS550&gt;=#REF!),0,FV($O$1,AP551,-#REF!,0,1))</f>
        <v>#REF!</v>
      </c>
      <c r="AU551" s="5">
        <f t="shared" si="88"/>
        <v>0</v>
      </c>
    </row>
    <row r="552" spans="12:47" hidden="1" x14ac:dyDescent="0.25">
      <c r="L552" s="2" t="str">
        <f t="shared" si="97"/>
        <v/>
      </c>
      <c r="M552" s="45">
        <f t="shared" si="96"/>
        <v>44</v>
      </c>
      <c r="N552" s="36">
        <v>532</v>
      </c>
      <c r="O552" s="91">
        <f t="shared" si="90"/>
        <v>0</v>
      </c>
      <c r="P552" s="38">
        <f t="shared" si="91"/>
        <v>0</v>
      </c>
      <c r="W552" s="26">
        <f t="shared" si="92"/>
        <v>0</v>
      </c>
      <c r="X552" s="5">
        <f t="shared" si="93"/>
        <v>0</v>
      </c>
      <c r="Y552" s="5"/>
      <c r="AA552" s="63">
        <f t="shared" si="94"/>
        <v>0</v>
      </c>
      <c r="AB552" s="5">
        <f t="shared" si="95"/>
        <v>0</v>
      </c>
      <c r="AP552" s="3">
        <v>539</v>
      </c>
      <c r="AR552" s="14">
        <f t="shared" si="89"/>
        <v>0</v>
      </c>
      <c r="AS552" s="17" t="e">
        <f>IF(OR(AS551=0,AS551&gt;=#REF!),0,FV($O$1,AP552,-#REF!,0,1))</f>
        <v>#REF!</v>
      </c>
      <c r="AU552" s="5">
        <f t="shared" si="88"/>
        <v>0</v>
      </c>
    </row>
    <row r="553" spans="12:47" hidden="1" x14ac:dyDescent="0.25">
      <c r="L553" s="2" t="str">
        <f t="shared" si="97"/>
        <v/>
      </c>
      <c r="M553" s="45">
        <f t="shared" si="96"/>
        <v>44</v>
      </c>
      <c r="N553" s="36">
        <v>533</v>
      </c>
      <c r="O553" s="91">
        <f t="shared" si="90"/>
        <v>0</v>
      </c>
      <c r="P553" s="38">
        <f t="shared" si="91"/>
        <v>0</v>
      </c>
      <c r="W553" s="26">
        <f t="shared" si="92"/>
        <v>0</v>
      </c>
      <c r="X553" s="5">
        <f t="shared" si="93"/>
        <v>0</v>
      </c>
      <c r="Y553" s="5"/>
      <c r="AA553" s="63">
        <f t="shared" si="94"/>
        <v>0</v>
      </c>
      <c r="AB553" s="5">
        <f t="shared" si="95"/>
        <v>0</v>
      </c>
      <c r="AP553" s="3">
        <v>540</v>
      </c>
      <c r="AR553" s="14">
        <f t="shared" si="89"/>
        <v>0</v>
      </c>
      <c r="AS553" s="17" t="e">
        <f>IF(OR(AS552=0,AS552&gt;=#REF!),0,FV($O$1,AP553,-#REF!,0,1))</f>
        <v>#REF!</v>
      </c>
      <c r="AU553" s="5">
        <f t="shared" si="88"/>
        <v>0</v>
      </c>
    </row>
    <row r="554" spans="12:47" hidden="1" x14ac:dyDescent="0.25">
      <c r="L554" s="2" t="str">
        <f t="shared" si="97"/>
        <v/>
      </c>
      <c r="M554" s="45">
        <f t="shared" si="96"/>
        <v>44</v>
      </c>
      <c r="N554" s="36">
        <v>534</v>
      </c>
      <c r="O554" s="91">
        <f t="shared" si="90"/>
        <v>0</v>
      </c>
      <c r="P554" s="38">
        <f t="shared" si="91"/>
        <v>0</v>
      </c>
      <c r="W554" s="26">
        <f t="shared" si="92"/>
        <v>0</v>
      </c>
      <c r="X554" s="5">
        <f t="shared" si="93"/>
        <v>0</v>
      </c>
      <c r="Y554" s="5"/>
      <c r="AA554" s="63">
        <f t="shared" si="94"/>
        <v>0</v>
      </c>
      <c r="AB554" s="5">
        <f t="shared" si="95"/>
        <v>0</v>
      </c>
      <c r="AP554" s="3">
        <v>541</v>
      </c>
      <c r="AR554" s="14">
        <f t="shared" si="89"/>
        <v>0</v>
      </c>
      <c r="AS554" s="17" t="e">
        <f>IF(OR(AS553=0,AS553&gt;=#REF!),0,FV($O$1,AP554,-#REF!,0,1))</f>
        <v>#REF!</v>
      </c>
      <c r="AU554" s="5">
        <f t="shared" si="88"/>
        <v>0</v>
      </c>
    </row>
    <row r="555" spans="12:47" hidden="1" x14ac:dyDescent="0.25">
      <c r="L555" s="2" t="str">
        <f t="shared" si="97"/>
        <v/>
      </c>
      <c r="M555" s="45">
        <f t="shared" si="96"/>
        <v>44</v>
      </c>
      <c r="N555" s="36">
        <v>535</v>
      </c>
      <c r="O555" s="91">
        <f t="shared" si="90"/>
        <v>0</v>
      </c>
      <c r="P555" s="38">
        <f t="shared" si="91"/>
        <v>0</v>
      </c>
      <c r="W555" s="26">
        <f t="shared" si="92"/>
        <v>0</v>
      </c>
      <c r="X555" s="5">
        <f t="shared" si="93"/>
        <v>0</v>
      </c>
      <c r="Y555" s="5"/>
      <c r="AA555" s="63">
        <f t="shared" si="94"/>
        <v>0</v>
      </c>
      <c r="AB555" s="5">
        <f t="shared" si="95"/>
        <v>0</v>
      </c>
      <c r="AP555" s="3">
        <v>542</v>
      </c>
      <c r="AR555" s="14">
        <f t="shared" si="89"/>
        <v>0</v>
      </c>
      <c r="AS555" s="17" t="e">
        <f>IF(OR(AS554=0,AS554&gt;=#REF!),0,FV($O$1,AP555,-#REF!,0,1))</f>
        <v>#REF!</v>
      </c>
      <c r="AU555" s="5">
        <f t="shared" si="88"/>
        <v>0</v>
      </c>
    </row>
    <row r="556" spans="12:47" hidden="1" x14ac:dyDescent="0.25">
      <c r="L556" s="2" t="str">
        <f t="shared" si="97"/>
        <v/>
      </c>
      <c r="M556" s="45">
        <f t="shared" si="96"/>
        <v>44</v>
      </c>
      <c r="N556" s="36">
        <v>536</v>
      </c>
      <c r="O556" s="91">
        <f t="shared" si="90"/>
        <v>0</v>
      </c>
      <c r="P556" s="38">
        <f t="shared" si="91"/>
        <v>0</v>
      </c>
      <c r="W556" s="26">
        <f t="shared" si="92"/>
        <v>0</v>
      </c>
      <c r="X556" s="5">
        <f t="shared" si="93"/>
        <v>0</v>
      </c>
      <c r="Y556" s="5"/>
      <c r="AA556" s="63">
        <f t="shared" si="94"/>
        <v>0</v>
      </c>
      <c r="AB556" s="5">
        <f t="shared" si="95"/>
        <v>0</v>
      </c>
      <c r="AP556" s="3">
        <v>543</v>
      </c>
      <c r="AR556" s="14">
        <f t="shared" si="89"/>
        <v>0</v>
      </c>
      <c r="AS556" s="17" t="e">
        <f>IF(OR(AS555=0,AS555&gt;=#REF!),0,FV($O$1,AP556,-#REF!,0,1))</f>
        <v>#REF!</v>
      </c>
      <c r="AU556" s="5">
        <f t="shared" si="88"/>
        <v>0</v>
      </c>
    </row>
    <row r="557" spans="12:47" hidden="1" x14ac:dyDescent="0.25">
      <c r="L557" s="2" t="str">
        <f t="shared" si="97"/>
        <v/>
      </c>
      <c r="M557" s="45">
        <f t="shared" si="96"/>
        <v>44</v>
      </c>
      <c r="N557" s="36">
        <v>537</v>
      </c>
      <c r="O557" s="91">
        <f t="shared" si="90"/>
        <v>0</v>
      </c>
      <c r="P557" s="38">
        <f t="shared" si="91"/>
        <v>0</v>
      </c>
      <c r="W557" s="26">
        <f t="shared" si="92"/>
        <v>0</v>
      </c>
      <c r="X557" s="5">
        <f t="shared" si="93"/>
        <v>0</v>
      </c>
      <c r="Y557" s="5"/>
      <c r="AA557" s="63">
        <f t="shared" si="94"/>
        <v>0</v>
      </c>
      <c r="AB557" s="5">
        <f t="shared" si="95"/>
        <v>0</v>
      </c>
      <c r="AP557" s="3">
        <v>544</v>
      </c>
      <c r="AR557" s="14">
        <f t="shared" si="89"/>
        <v>0</v>
      </c>
      <c r="AS557" s="17" t="e">
        <f>IF(OR(AS556=0,AS556&gt;=#REF!),0,FV($O$1,AP557,-#REF!,0,1))</f>
        <v>#REF!</v>
      </c>
      <c r="AU557" s="5">
        <f t="shared" si="88"/>
        <v>0</v>
      </c>
    </row>
    <row r="558" spans="12:47" hidden="1" x14ac:dyDescent="0.25">
      <c r="L558" s="2" t="str">
        <f t="shared" si="97"/>
        <v/>
      </c>
      <c r="M558" s="45">
        <f t="shared" si="96"/>
        <v>44</v>
      </c>
      <c r="N558" s="36">
        <v>538</v>
      </c>
      <c r="O558" s="91">
        <f t="shared" si="90"/>
        <v>0</v>
      </c>
      <c r="P558" s="38">
        <f t="shared" si="91"/>
        <v>0</v>
      </c>
      <c r="W558" s="26">
        <f t="shared" si="92"/>
        <v>0</v>
      </c>
      <c r="X558" s="5">
        <f t="shared" si="93"/>
        <v>0</v>
      </c>
      <c r="Y558" s="5"/>
      <c r="AA558" s="63">
        <f t="shared" si="94"/>
        <v>0</v>
      </c>
      <c r="AB558" s="5">
        <f t="shared" si="95"/>
        <v>0</v>
      </c>
      <c r="AP558" s="3">
        <v>545</v>
      </c>
      <c r="AR558" s="14">
        <f t="shared" si="89"/>
        <v>0</v>
      </c>
      <c r="AS558" s="17" t="e">
        <f>IF(OR(AS557=0,AS557&gt;=#REF!),0,FV($O$1,AP558,-#REF!,0,1))</f>
        <v>#REF!</v>
      </c>
      <c r="AU558" s="5">
        <f t="shared" si="88"/>
        <v>0</v>
      </c>
    </row>
    <row r="559" spans="12:47" hidden="1" x14ac:dyDescent="0.25">
      <c r="L559" s="2" t="str">
        <f t="shared" si="97"/>
        <v/>
      </c>
      <c r="M559" s="45">
        <f t="shared" si="96"/>
        <v>44</v>
      </c>
      <c r="N559" s="36">
        <v>539</v>
      </c>
      <c r="O559" s="91">
        <f t="shared" si="90"/>
        <v>0</v>
      </c>
      <c r="P559" s="38">
        <f t="shared" si="91"/>
        <v>0</v>
      </c>
      <c r="W559" s="26">
        <f t="shared" si="92"/>
        <v>0</v>
      </c>
      <c r="X559" s="5">
        <f t="shared" si="93"/>
        <v>0</v>
      </c>
      <c r="Y559" s="5"/>
      <c r="AA559" s="63">
        <f t="shared" si="94"/>
        <v>0</v>
      </c>
      <c r="AB559" s="5">
        <f t="shared" si="95"/>
        <v>0</v>
      </c>
      <c r="AP559" s="3">
        <v>546</v>
      </c>
      <c r="AR559" s="14">
        <f t="shared" si="89"/>
        <v>0</v>
      </c>
      <c r="AS559" s="17" t="e">
        <f>IF(OR(AS558=0,AS558&gt;=#REF!),0,FV($O$1,AP559,-#REF!,0,1))</f>
        <v>#REF!</v>
      </c>
      <c r="AU559" s="5">
        <f t="shared" si="88"/>
        <v>0</v>
      </c>
    </row>
    <row r="560" spans="12:47" hidden="1" x14ac:dyDescent="0.25">
      <c r="L560" s="2" t="str">
        <f t="shared" si="97"/>
        <v/>
      </c>
      <c r="M560" s="45">
        <f t="shared" si="96"/>
        <v>44</v>
      </c>
      <c r="N560" s="36">
        <v>540</v>
      </c>
      <c r="O560" s="91">
        <f t="shared" si="90"/>
        <v>0</v>
      </c>
      <c r="P560" s="38">
        <f t="shared" si="91"/>
        <v>0</v>
      </c>
      <c r="W560" s="26">
        <f t="shared" si="92"/>
        <v>0</v>
      </c>
      <c r="X560" s="5">
        <f t="shared" si="93"/>
        <v>0</v>
      </c>
      <c r="Y560" s="5"/>
      <c r="AA560" s="63">
        <f t="shared" si="94"/>
        <v>0</v>
      </c>
      <c r="AB560" s="5">
        <f t="shared" si="95"/>
        <v>0</v>
      </c>
      <c r="AP560" s="3">
        <v>547</v>
      </c>
      <c r="AR560" s="14">
        <f t="shared" si="89"/>
        <v>0</v>
      </c>
      <c r="AS560" s="17" t="e">
        <f>IF(OR(AS559=0,AS559&gt;=#REF!),0,FV($O$1,AP560,-#REF!,0,1))</f>
        <v>#REF!</v>
      </c>
      <c r="AU560" s="5">
        <f t="shared" si="88"/>
        <v>0</v>
      </c>
    </row>
    <row r="561" spans="12:47" hidden="1" x14ac:dyDescent="0.25">
      <c r="L561" s="2" t="str">
        <f t="shared" si="97"/>
        <v/>
      </c>
      <c r="M561" s="45">
        <f t="shared" si="96"/>
        <v>45</v>
      </c>
      <c r="N561" s="36">
        <v>541</v>
      </c>
      <c r="O561" s="91">
        <f t="shared" si="90"/>
        <v>0</v>
      </c>
      <c r="P561" s="38">
        <f t="shared" si="91"/>
        <v>0</v>
      </c>
      <c r="W561" s="26">
        <f t="shared" si="92"/>
        <v>0</v>
      </c>
      <c r="X561" s="5">
        <f t="shared" si="93"/>
        <v>0</v>
      </c>
      <c r="Y561" s="5"/>
      <c r="AA561" s="63">
        <f t="shared" si="94"/>
        <v>0</v>
      </c>
      <c r="AB561" s="5">
        <f t="shared" si="95"/>
        <v>0</v>
      </c>
      <c r="AP561" s="3">
        <v>548</v>
      </c>
      <c r="AR561" s="14">
        <f t="shared" si="89"/>
        <v>0</v>
      </c>
      <c r="AS561" s="17" t="e">
        <f>IF(OR(AS560=0,AS560&gt;=#REF!),0,FV($O$1,AP561,-#REF!,0,1))</f>
        <v>#REF!</v>
      </c>
      <c r="AU561" s="5">
        <f t="shared" si="88"/>
        <v>0</v>
      </c>
    </row>
    <row r="562" spans="12:47" hidden="1" x14ac:dyDescent="0.25">
      <c r="L562" s="2" t="str">
        <f t="shared" si="97"/>
        <v/>
      </c>
      <c r="M562" s="45">
        <f t="shared" si="96"/>
        <v>45</v>
      </c>
      <c r="N562" s="36">
        <v>542</v>
      </c>
      <c r="O562" s="91">
        <f t="shared" si="90"/>
        <v>0</v>
      </c>
      <c r="P562" s="38">
        <f t="shared" si="91"/>
        <v>0</v>
      </c>
      <c r="W562" s="26">
        <f t="shared" si="92"/>
        <v>0</v>
      </c>
      <c r="X562" s="5">
        <f t="shared" si="93"/>
        <v>0</v>
      </c>
      <c r="Y562" s="5"/>
      <c r="AA562" s="63">
        <f t="shared" si="94"/>
        <v>0</v>
      </c>
      <c r="AB562" s="5">
        <f t="shared" si="95"/>
        <v>0</v>
      </c>
      <c r="AP562" s="3">
        <v>549</v>
      </c>
      <c r="AR562" s="14">
        <f t="shared" si="89"/>
        <v>0</v>
      </c>
      <c r="AS562" s="17" t="e">
        <f>IF(OR(AS561=0,AS561&gt;=#REF!),0,FV($O$1,AP562,-#REF!,0,1))</f>
        <v>#REF!</v>
      </c>
      <c r="AU562" s="5">
        <f t="shared" si="88"/>
        <v>0</v>
      </c>
    </row>
    <row r="563" spans="12:47" hidden="1" x14ac:dyDescent="0.25">
      <c r="L563" s="2" t="str">
        <f t="shared" si="97"/>
        <v/>
      </c>
      <c r="M563" s="45">
        <f t="shared" si="96"/>
        <v>45</v>
      </c>
      <c r="N563" s="36">
        <v>543</v>
      </c>
      <c r="O563" s="91">
        <f t="shared" si="90"/>
        <v>0</v>
      </c>
      <c r="P563" s="38">
        <f t="shared" si="91"/>
        <v>0</v>
      </c>
      <c r="W563" s="26">
        <f t="shared" si="92"/>
        <v>0</v>
      </c>
      <c r="X563" s="5">
        <f t="shared" si="93"/>
        <v>0</v>
      </c>
      <c r="Y563" s="5"/>
      <c r="AA563" s="63">
        <f t="shared" si="94"/>
        <v>0</v>
      </c>
      <c r="AB563" s="5">
        <f t="shared" si="95"/>
        <v>0</v>
      </c>
      <c r="AP563" s="3">
        <v>550</v>
      </c>
      <c r="AR563" s="14">
        <f t="shared" si="89"/>
        <v>0</v>
      </c>
      <c r="AS563" s="17" t="e">
        <f>IF(OR(AS562=0,AS562&gt;=#REF!),0,FV($O$1,AP563,-#REF!,0,1))</f>
        <v>#REF!</v>
      </c>
      <c r="AU563" s="5">
        <f t="shared" si="88"/>
        <v>0</v>
      </c>
    </row>
    <row r="564" spans="12:47" hidden="1" x14ac:dyDescent="0.25">
      <c r="L564" s="2" t="str">
        <f t="shared" si="97"/>
        <v/>
      </c>
      <c r="M564" s="45">
        <f t="shared" si="96"/>
        <v>45</v>
      </c>
      <c r="N564" s="36">
        <v>544</v>
      </c>
      <c r="O564" s="91">
        <f t="shared" si="90"/>
        <v>0</v>
      </c>
      <c r="P564" s="38">
        <f t="shared" si="91"/>
        <v>0</v>
      </c>
      <c r="W564" s="26">
        <f t="shared" si="92"/>
        <v>0</v>
      </c>
      <c r="X564" s="5">
        <f t="shared" si="93"/>
        <v>0</v>
      </c>
      <c r="Y564" s="5"/>
      <c r="AA564" s="63">
        <f t="shared" si="94"/>
        <v>0</v>
      </c>
      <c r="AB564" s="5">
        <f t="shared" si="95"/>
        <v>0</v>
      </c>
      <c r="AP564" s="3">
        <v>551</v>
      </c>
      <c r="AR564" s="14">
        <f t="shared" si="89"/>
        <v>0</v>
      </c>
      <c r="AS564" s="17" t="e">
        <f>IF(OR(AS563=0,AS563&gt;=#REF!),0,FV($O$1,AP564,-#REF!,0,1))</f>
        <v>#REF!</v>
      </c>
      <c r="AU564" s="5">
        <f t="shared" si="88"/>
        <v>0</v>
      </c>
    </row>
    <row r="565" spans="12:47" hidden="1" x14ac:dyDescent="0.25">
      <c r="L565" s="2" t="str">
        <f t="shared" si="97"/>
        <v/>
      </c>
      <c r="M565" s="45">
        <f t="shared" si="96"/>
        <v>45</v>
      </c>
      <c r="N565" s="36">
        <v>545</v>
      </c>
      <c r="O565" s="91">
        <f t="shared" si="90"/>
        <v>0</v>
      </c>
      <c r="P565" s="38">
        <f t="shared" si="91"/>
        <v>0</v>
      </c>
      <c r="W565" s="26">
        <f t="shared" si="92"/>
        <v>0</v>
      </c>
      <c r="X565" s="5">
        <f t="shared" si="93"/>
        <v>0</v>
      </c>
      <c r="Y565" s="5"/>
      <c r="AA565" s="63">
        <f t="shared" si="94"/>
        <v>0</v>
      </c>
      <c r="AB565" s="5">
        <f t="shared" si="95"/>
        <v>0</v>
      </c>
      <c r="AP565" s="3">
        <v>552</v>
      </c>
      <c r="AR565" s="14">
        <f t="shared" si="89"/>
        <v>0</v>
      </c>
      <c r="AS565" s="17" t="e">
        <f>IF(OR(AS564=0,AS564&gt;=#REF!),0,FV($O$1,AP565,-#REF!,0,1))</f>
        <v>#REF!</v>
      </c>
      <c r="AU565" s="5">
        <f t="shared" si="88"/>
        <v>0</v>
      </c>
    </row>
    <row r="566" spans="12:47" hidden="1" x14ac:dyDescent="0.25">
      <c r="L566" s="2" t="str">
        <f t="shared" si="97"/>
        <v/>
      </c>
      <c r="M566" s="45">
        <f t="shared" si="96"/>
        <v>45</v>
      </c>
      <c r="N566" s="36">
        <v>546</v>
      </c>
      <c r="O566" s="91">
        <f t="shared" si="90"/>
        <v>0</v>
      </c>
      <c r="P566" s="38">
        <f t="shared" si="91"/>
        <v>0</v>
      </c>
      <c r="W566" s="26">
        <f t="shared" si="92"/>
        <v>0</v>
      </c>
      <c r="X566" s="5">
        <f t="shared" si="93"/>
        <v>0</v>
      </c>
      <c r="Y566" s="5"/>
      <c r="AA566" s="63">
        <f t="shared" si="94"/>
        <v>0</v>
      </c>
      <c r="AB566" s="5">
        <f t="shared" si="95"/>
        <v>0</v>
      </c>
      <c r="AP566" s="3">
        <v>553</v>
      </c>
      <c r="AR566" s="14">
        <f t="shared" si="89"/>
        <v>0</v>
      </c>
      <c r="AS566" s="17" t="e">
        <f>IF(OR(AS565=0,AS565&gt;=#REF!),0,FV($O$1,AP566,-#REF!,0,1))</f>
        <v>#REF!</v>
      </c>
      <c r="AU566" s="5">
        <f t="shared" si="88"/>
        <v>0</v>
      </c>
    </row>
    <row r="567" spans="12:47" hidden="1" x14ac:dyDescent="0.25">
      <c r="L567" s="2" t="str">
        <f t="shared" si="97"/>
        <v/>
      </c>
      <c r="M567" s="45">
        <f t="shared" si="96"/>
        <v>45</v>
      </c>
      <c r="N567" s="36">
        <v>547</v>
      </c>
      <c r="O567" s="91">
        <f t="shared" si="90"/>
        <v>0</v>
      </c>
      <c r="P567" s="38">
        <f t="shared" si="91"/>
        <v>0</v>
      </c>
      <c r="W567" s="26">
        <f t="shared" si="92"/>
        <v>0</v>
      </c>
      <c r="X567" s="5">
        <f t="shared" si="93"/>
        <v>0</v>
      </c>
      <c r="Y567" s="5"/>
      <c r="AA567" s="63">
        <f t="shared" si="94"/>
        <v>0</v>
      </c>
      <c r="AB567" s="5">
        <f t="shared" si="95"/>
        <v>0</v>
      </c>
      <c r="AP567" s="3">
        <v>554</v>
      </c>
      <c r="AR567" s="14">
        <f t="shared" si="89"/>
        <v>0</v>
      </c>
      <c r="AS567" s="17" t="e">
        <f>IF(OR(AS566=0,AS566&gt;=#REF!),0,FV($O$1,AP567,-#REF!,0,1))</f>
        <v>#REF!</v>
      </c>
      <c r="AU567" s="5">
        <f t="shared" si="88"/>
        <v>0</v>
      </c>
    </row>
    <row r="568" spans="12:47" hidden="1" x14ac:dyDescent="0.25">
      <c r="L568" s="2" t="str">
        <f t="shared" si="97"/>
        <v/>
      </c>
      <c r="M568" s="45">
        <f t="shared" si="96"/>
        <v>45</v>
      </c>
      <c r="N568" s="36">
        <v>548</v>
      </c>
      <c r="O568" s="91">
        <f t="shared" si="90"/>
        <v>0</v>
      </c>
      <c r="P568" s="38">
        <f t="shared" si="91"/>
        <v>0</v>
      </c>
      <c r="W568" s="26">
        <f t="shared" si="92"/>
        <v>0</v>
      </c>
      <c r="X568" s="5">
        <f t="shared" si="93"/>
        <v>0</v>
      </c>
      <c r="Y568" s="5"/>
      <c r="AA568" s="63">
        <f t="shared" si="94"/>
        <v>0</v>
      </c>
      <c r="AB568" s="5">
        <f t="shared" si="95"/>
        <v>0</v>
      </c>
      <c r="AP568" s="3">
        <v>555</v>
      </c>
      <c r="AR568" s="14">
        <f t="shared" si="89"/>
        <v>0</v>
      </c>
      <c r="AS568" s="17" t="e">
        <f>IF(OR(AS567=0,AS567&gt;=#REF!),0,FV($O$1,AP568,-#REF!,0,1))</f>
        <v>#REF!</v>
      </c>
      <c r="AU568" s="5">
        <f t="shared" si="88"/>
        <v>0</v>
      </c>
    </row>
    <row r="569" spans="12:47" hidden="1" x14ac:dyDescent="0.25">
      <c r="L569" s="2" t="str">
        <f t="shared" si="97"/>
        <v/>
      </c>
      <c r="M569" s="45">
        <f t="shared" si="96"/>
        <v>45</v>
      </c>
      <c r="N569" s="36">
        <v>549</v>
      </c>
      <c r="O569" s="91">
        <f t="shared" si="90"/>
        <v>0</v>
      </c>
      <c r="P569" s="38">
        <f t="shared" si="91"/>
        <v>0</v>
      </c>
      <c r="W569" s="26">
        <f t="shared" si="92"/>
        <v>0</v>
      </c>
      <c r="X569" s="5">
        <f t="shared" si="93"/>
        <v>0</v>
      </c>
      <c r="Y569" s="5"/>
      <c r="AA569" s="63">
        <f t="shared" si="94"/>
        <v>0</v>
      </c>
      <c r="AB569" s="5">
        <f t="shared" si="95"/>
        <v>0</v>
      </c>
      <c r="AP569" s="3">
        <v>556</v>
      </c>
      <c r="AR569" s="14">
        <f t="shared" si="89"/>
        <v>0</v>
      </c>
      <c r="AS569" s="17" t="e">
        <f>IF(OR(AS568=0,AS568&gt;=#REF!),0,FV($O$1,AP569,-#REF!,0,1))</f>
        <v>#REF!</v>
      </c>
      <c r="AU569" s="5">
        <f t="shared" si="88"/>
        <v>0</v>
      </c>
    </row>
    <row r="570" spans="12:47" hidden="1" x14ac:dyDescent="0.25">
      <c r="L570" s="2" t="str">
        <f t="shared" si="97"/>
        <v/>
      </c>
      <c r="M570" s="45">
        <f t="shared" si="96"/>
        <v>45</v>
      </c>
      <c r="N570" s="36">
        <v>550</v>
      </c>
      <c r="O570" s="91">
        <f t="shared" si="90"/>
        <v>0</v>
      </c>
      <c r="P570" s="38">
        <f t="shared" si="91"/>
        <v>0</v>
      </c>
      <c r="W570" s="26">
        <f t="shared" si="92"/>
        <v>0</v>
      </c>
      <c r="X570" s="5">
        <f t="shared" si="93"/>
        <v>0</v>
      </c>
      <c r="Y570" s="5"/>
      <c r="AA570" s="63">
        <f t="shared" si="94"/>
        <v>0</v>
      </c>
      <c r="AB570" s="5">
        <f t="shared" si="95"/>
        <v>0</v>
      </c>
      <c r="AP570" s="3">
        <v>557</v>
      </c>
      <c r="AR570" s="14">
        <f t="shared" si="89"/>
        <v>0</v>
      </c>
      <c r="AS570" s="17" t="e">
        <f>IF(OR(AS569=0,AS569&gt;=#REF!),0,FV($O$1,AP570,-#REF!,0,1))</f>
        <v>#REF!</v>
      </c>
      <c r="AU570" s="5">
        <f t="shared" si="88"/>
        <v>0</v>
      </c>
    </row>
    <row r="571" spans="12:47" hidden="1" x14ac:dyDescent="0.25">
      <c r="L571" s="2" t="str">
        <f t="shared" si="97"/>
        <v/>
      </c>
      <c r="M571" s="45">
        <f t="shared" si="96"/>
        <v>45</v>
      </c>
      <c r="N571" s="36">
        <v>551</v>
      </c>
      <c r="O571" s="91">
        <f t="shared" si="90"/>
        <v>0</v>
      </c>
      <c r="P571" s="38">
        <f t="shared" si="91"/>
        <v>0</v>
      </c>
      <c r="W571" s="26">
        <f t="shared" si="92"/>
        <v>0</v>
      </c>
      <c r="X571" s="5">
        <f t="shared" si="93"/>
        <v>0</v>
      </c>
      <c r="Y571" s="5"/>
      <c r="AA571" s="63">
        <f t="shared" si="94"/>
        <v>0</v>
      </c>
      <c r="AB571" s="5">
        <f t="shared" si="95"/>
        <v>0</v>
      </c>
      <c r="AP571" s="3">
        <v>558</v>
      </c>
      <c r="AR571" s="14">
        <f t="shared" si="89"/>
        <v>0</v>
      </c>
      <c r="AS571" s="17" t="e">
        <f>IF(OR(AS570=0,AS570&gt;=#REF!),0,FV($O$1,AP571,-#REF!,0,1))</f>
        <v>#REF!</v>
      </c>
      <c r="AU571" s="5">
        <f t="shared" si="88"/>
        <v>0</v>
      </c>
    </row>
    <row r="572" spans="12:47" hidden="1" x14ac:dyDescent="0.25">
      <c r="L572" s="2" t="str">
        <f t="shared" si="97"/>
        <v/>
      </c>
      <c r="M572" s="45">
        <f t="shared" si="96"/>
        <v>45</v>
      </c>
      <c r="N572" s="36">
        <v>552</v>
      </c>
      <c r="O572" s="91">
        <f t="shared" si="90"/>
        <v>0</v>
      </c>
      <c r="P572" s="38">
        <f t="shared" si="91"/>
        <v>0</v>
      </c>
      <c r="W572" s="26">
        <f t="shared" si="92"/>
        <v>0</v>
      </c>
      <c r="X572" s="5">
        <f t="shared" si="93"/>
        <v>0</v>
      </c>
      <c r="Y572" s="5"/>
      <c r="AA572" s="63">
        <f t="shared" si="94"/>
        <v>0</v>
      </c>
      <c r="AB572" s="5">
        <f t="shared" si="95"/>
        <v>0</v>
      </c>
      <c r="AP572" s="3">
        <v>559</v>
      </c>
      <c r="AR572" s="14">
        <f t="shared" si="89"/>
        <v>0</v>
      </c>
      <c r="AS572" s="17" t="e">
        <f>IF(OR(AS571=0,AS571&gt;=#REF!),0,FV($O$1,AP572,-#REF!,0,1))</f>
        <v>#REF!</v>
      </c>
      <c r="AU572" s="5">
        <f t="shared" si="88"/>
        <v>0</v>
      </c>
    </row>
    <row r="573" spans="12:47" hidden="1" x14ac:dyDescent="0.25">
      <c r="L573" s="2" t="str">
        <f t="shared" si="97"/>
        <v/>
      </c>
      <c r="M573" s="45">
        <f t="shared" si="96"/>
        <v>46</v>
      </c>
      <c r="N573" s="36">
        <v>553</v>
      </c>
      <c r="O573" s="91">
        <f t="shared" si="90"/>
        <v>0</v>
      </c>
      <c r="P573" s="38">
        <f t="shared" si="91"/>
        <v>0</v>
      </c>
      <c r="W573" s="26">
        <f t="shared" si="92"/>
        <v>0</v>
      </c>
      <c r="X573" s="5">
        <f t="shared" si="93"/>
        <v>0</v>
      </c>
      <c r="Y573" s="5"/>
      <c r="AA573" s="63">
        <f t="shared" si="94"/>
        <v>0</v>
      </c>
      <c r="AB573" s="5">
        <f t="shared" si="95"/>
        <v>0</v>
      </c>
      <c r="AP573" s="3">
        <v>560</v>
      </c>
      <c r="AR573" s="14">
        <f t="shared" si="89"/>
        <v>0</v>
      </c>
      <c r="AS573" s="17" t="e">
        <f>IF(OR(AS572=0,AS572&gt;=#REF!),0,FV($O$1,AP573,-#REF!,0,1))</f>
        <v>#REF!</v>
      </c>
      <c r="AU573" s="5">
        <f t="shared" si="88"/>
        <v>0</v>
      </c>
    </row>
    <row r="574" spans="12:47" hidden="1" x14ac:dyDescent="0.25">
      <c r="L574" s="2" t="str">
        <f t="shared" si="97"/>
        <v/>
      </c>
      <c r="M574" s="45">
        <f t="shared" si="96"/>
        <v>46</v>
      </c>
      <c r="N574" s="36">
        <v>554</v>
      </c>
      <c r="O574" s="91">
        <f t="shared" si="90"/>
        <v>0</v>
      </c>
      <c r="P574" s="38">
        <f t="shared" si="91"/>
        <v>0</v>
      </c>
      <c r="W574" s="26">
        <f t="shared" si="92"/>
        <v>0</v>
      </c>
      <c r="X574" s="5">
        <f t="shared" si="93"/>
        <v>0</v>
      </c>
      <c r="Y574" s="5"/>
      <c r="AA574" s="63">
        <f t="shared" si="94"/>
        <v>0</v>
      </c>
      <c r="AB574" s="5">
        <f t="shared" si="95"/>
        <v>0</v>
      </c>
      <c r="AP574" s="3">
        <v>561</v>
      </c>
      <c r="AR574" s="14">
        <f t="shared" si="89"/>
        <v>0</v>
      </c>
      <c r="AS574" s="17" t="e">
        <f>IF(OR(AS573=0,AS573&gt;=#REF!),0,FV($O$1,AP574,-#REF!,0,1))</f>
        <v>#REF!</v>
      </c>
      <c r="AU574" s="5">
        <f t="shared" si="88"/>
        <v>0</v>
      </c>
    </row>
    <row r="575" spans="12:47" hidden="1" x14ac:dyDescent="0.25">
      <c r="L575" s="2" t="str">
        <f t="shared" si="97"/>
        <v/>
      </c>
      <c r="M575" s="45">
        <f t="shared" si="96"/>
        <v>46</v>
      </c>
      <c r="N575" s="36">
        <v>555</v>
      </c>
      <c r="O575" s="91">
        <f t="shared" si="90"/>
        <v>0</v>
      </c>
      <c r="P575" s="38">
        <f t="shared" si="91"/>
        <v>0</v>
      </c>
      <c r="W575" s="26">
        <f t="shared" si="92"/>
        <v>0</v>
      </c>
      <c r="X575" s="5">
        <f t="shared" si="93"/>
        <v>0</v>
      </c>
      <c r="Y575" s="5"/>
      <c r="AA575" s="63">
        <f t="shared" si="94"/>
        <v>0</v>
      </c>
      <c r="AB575" s="5">
        <f t="shared" si="95"/>
        <v>0</v>
      </c>
      <c r="AP575" s="3">
        <v>562</v>
      </c>
      <c r="AR575" s="14">
        <f t="shared" si="89"/>
        <v>0</v>
      </c>
      <c r="AS575" s="17" t="e">
        <f>IF(OR(AS574=0,AS574&gt;=#REF!),0,FV($O$1,AP575,-#REF!,0,1))</f>
        <v>#REF!</v>
      </c>
      <c r="AU575" s="5">
        <f t="shared" si="88"/>
        <v>0</v>
      </c>
    </row>
    <row r="576" spans="12:47" hidden="1" x14ac:dyDescent="0.25">
      <c r="L576" s="2" t="str">
        <f t="shared" si="97"/>
        <v/>
      </c>
      <c r="M576" s="45">
        <f t="shared" si="96"/>
        <v>46</v>
      </c>
      <c r="N576" s="36">
        <v>556</v>
      </c>
      <c r="O576" s="91">
        <f t="shared" si="90"/>
        <v>0</v>
      </c>
      <c r="P576" s="38">
        <f t="shared" si="91"/>
        <v>0</v>
      </c>
      <c r="W576" s="26">
        <f t="shared" si="92"/>
        <v>0</v>
      </c>
      <c r="X576" s="5">
        <f t="shared" si="93"/>
        <v>0</v>
      </c>
      <c r="Y576" s="5"/>
      <c r="AA576" s="63">
        <f t="shared" si="94"/>
        <v>0</v>
      </c>
      <c r="AB576" s="5">
        <f t="shared" si="95"/>
        <v>0</v>
      </c>
      <c r="AP576" s="3">
        <v>563</v>
      </c>
      <c r="AR576" s="14">
        <f t="shared" si="89"/>
        <v>0</v>
      </c>
      <c r="AS576" s="17" t="e">
        <f>IF(OR(AS575=0,AS575&gt;=#REF!),0,FV($O$1,AP576,-#REF!,0,1))</f>
        <v>#REF!</v>
      </c>
      <c r="AU576" s="5">
        <f t="shared" si="88"/>
        <v>0</v>
      </c>
    </row>
    <row r="577" spans="12:47" hidden="1" x14ac:dyDescent="0.25">
      <c r="L577" s="2" t="str">
        <f t="shared" si="97"/>
        <v/>
      </c>
      <c r="M577" s="45">
        <f t="shared" si="96"/>
        <v>46</v>
      </c>
      <c r="N577" s="36">
        <v>557</v>
      </c>
      <c r="O577" s="91">
        <f t="shared" si="90"/>
        <v>0</v>
      </c>
      <c r="P577" s="38">
        <f t="shared" si="91"/>
        <v>0</v>
      </c>
      <c r="W577" s="26">
        <f t="shared" si="92"/>
        <v>0</v>
      </c>
      <c r="X577" s="5">
        <f t="shared" si="93"/>
        <v>0</v>
      </c>
      <c r="Y577" s="5"/>
      <c r="AA577" s="63">
        <f t="shared" si="94"/>
        <v>0</v>
      </c>
      <c r="AB577" s="5">
        <f t="shared" si="95"/>
        <v>0</v>
      </c>
      <c r="AP577" s="3">
        <v>564</v>
      </c>
      <c r="AR577" s="14">
        <f t="shared" si="89"/>
        <v>0</v>
      </c>
      <c r="AS577" s="17" t="e">
        <f>IF(OR(AS576=0,AS576&gt;=#REF!),0,FV($O$1,AP577,-#REF!,0,1))</f>
        <v>#REF!</v>
      </c>
      <c r="AU577" s="5">
        <f t="shared" si="88"/>
        <v>0</v>
      </c>
    </row>
    <row r="578" spans="12:47" hidden="1" x14ac:dyDescent="0.25">
      <c r="L578" s="2" t="str">
        <f t="shared" si="97"/>
        <v/>
      </c>
      <c r="M578" s="45">
        <f t="shared" si="96"/>
        <v>46</v>
      </c>
      <c r="N578" s="36">
        <v>558</v>
      </c>
      <c r="O578" s="91">
        <f t="shared" si="90"/>
        <v>0</v>
      </c>
      <c r="P578" s="38">
        <f t="shared" si="91"/>
        <v>0</v>
      </c>
      <c r="W578" s="26">
        <f t="shared" si="92"/>
        <v>0</v>
      </c>
      <c r="X578" s="5">
        <f t="shared" si="93"/>
        <v>0</v>
      </c>
      <c r="Y578" s="5"/>
      <c r="AA578" s="63">
        <f t="shared" si="94"/>
        <v>0</v>
      </c>
      <c r="AB578" s="5">
        <f t="shared" si="95"/>
        <v>0</v>
      </c>
      <c r="AP578" s="3">
        <v>565</v>
      </c>
      <c r="AR578" s="14">
        <f t="shared" si="89"/>
        <v>0</v>
      </c>
      <c r="AS578" s="17" t="e">
        <f>IF(OR(AS577=0,AS577&gt;=#REF!),0,FV($O$1,AP578,-#REF!,0,1))</f>
        <v>#REF!</v>
      </c>
      <c r="AU578" s="5">
        <f t="shared" si="88"/>
        <v>0</v>
      </c>
    </row>
    <row r="579" spans="12:47" hidden="1" x14ac:dyDescent="0.25">
      <c r="L579" s="2" t="str">
        <f t="shared" si="97"/>
        <v/>
      </c>
      <c r="M579" s="45">
        <f t="shared" si="96"/>
        <v>46</v>
      </c>
      <c r="N579" s="36">
        <v>559</v>
      </c>
      <c r="O579" s="91">
        <f t="shared" si="90"/>
        <v>0</v>
      </c>
      <c r="P579" s="38">
        <f t="shared" si="91"/>
        <v>0</v>
      </c>
      <c r="W579" s="26">
        <f t="shared" si="92"/>
        <v>0</v>
      </c>
      <c r="X579" s="5">
        <f t="shared" si="93"/>
        <v>0</v>
      </c>
      <c r="Y579" s="5"/>
      <c r="AA579" s="63">
        <f t="shared" si="94"/>
        <v>0</v>
      </c>
      <c r="AB579" s="5">
        <f t="shared" si="95"/>
        <v>0</v>
      </c>
      <c r="AP579" s="3">
        <v>566</v>
      </c>
      <c r="AR579" s="14">
        <f t="shared" si="89"/>
        <v>0</v>
      </c>
      <c r="AS579" s="17" t="e">
        <f>IF(OR(AS578=0,AS578&gt;=#REF!),0,FV($O$1,AP579,-#REF!,0,1))</f>
        <v>#REF!</v>
      </c>
      <c r="AU579" s="5">
        <f t="shared" si="88"/>
        <v>0</v>
      </c>
    </row>
    <row r="580" spans="12:47" hidden="1" x14ac:dyDescent="0.25">
      <c r="L580" s="2" t="str">
        <f t="shared" si="97"/>
        <v/>
      </c>
      <c r="M580" s="45">
        <f t="shared" si="96"/>
        <v>46</v>
      </c>
      <c r="N580" s="36">
        <v>560</v>
      </c>
      <c r="O580" s="91">
        <f t="shared" si="90"/>
        <v>0</v>
      </c>
      <c r="P580" s="38">
        <f t="shared" si="91"/>
        <v>0</v>
      </c>
      <c r="W580" s="26">
        <f t="shared" si="92"/>
        <v>0</v>
      </c>
      <c r="X580" s="5">
        <f t="shared" si="93"/>
        <v>0</v>
      </c>
      <c r="Y580" s="5"/>
      <c r="AA580" s="63">
        <f t="shared" si="94"/>
        <v>0</v>
      </c>
      <c r="AB580" s="5">
        <f t="shared" si="95"/>
        <v>0</v>
      </c>
      <c r="AP580" s="3">
        <v>567</v>
      </c>
      <c r="AR580" s="14">
        <f t="shared" si="89"/>
        <v>0</v>
      </c>
      <c r="AS580" s="17" t="e">
        <f>IF(OR(AS579=0,AS579&gt;=#REF!),0,FV($O$1,AP580,-#REF!,0,1))</f>
        <v>#REF!</v>
      </c>
      <c r="AU580" s="5">
        <f t="shared" si="88"/>
        <v>0</v>
      </c>
    </row>
    <row r="581" spans="12:47" hidden="1" x14ac:dyDescent="0.25">
      <c r="L581" s="2" t="str">
        <f t="shared" si="97"/>
        <v/>
      </c>
      <c r="M581" s="45">
        <f t="shared" si="96"/>
        <v>46</v>
      </c>
      <c r="N581" s="36">
        <v>561</v>
      </c>
      <c r="O581" s="91">
        <f t="shared" si="90"/>
        <v>0</v>
      </c>
      <c r="P581" s="38">
        <f t="shared" si="91"/>
        <v>0</v>
      </c>
      <c r="W581" s="26">
        <f t="shared" si="92"/>
        <v>0</v>
      </c>
      <c r="X581" s="5">
        <f t="shared" si="93"/>
        <v>0</v>
      </c>
      <c r="Y581" s="5"/>
      <c r="AA581" s="63">
        <f t="shared" si="94"/>
        <v>0</v>
      </c>
      <c r="AB581" s="5">
        <f t="shared" si="95"/>
        <v>0</v>
      </c>
      <c r="AP581" s="3">
        <v>568</v>
      </c>
      <c r="AR581" s="14">
        <f t="shared" si="89"/>
        <v>0</v>
      </c>
      <c r="AS581" s="17" t="e">
        <f>IF(OR(AS580=0,AS580&gt;=#REF!),0,FV($O$1,AP581,-#REF!,0,1))</f>
        <v>#REF!</v>
      </c>
      <c r="AU581" s="5">
        <f t="shared" si="88"/>
        <v>0</v>
      </c>
    </row>
    <row r="582" spans="12:47" hidden="1" x14ac:dyDescent="0.25">
      <c r="L582" s="2" t="str">
        <f t="shared" si="97"/>
        <v/>
      </c>
      <c r="M582" s="45">
        <f t="shared" si="96"/>
        <v>46</v>
      </c>
      <c r="N582" s="36">
        <v>562</v>
      </c>
      <c r="O582" s="91">
        <f t="shared" si="90"/>
        <v>0</v>
      </c>
      <c r="P582" s="38">
        <f t="shared" si="91"/>
        <v>0</v>
      </c>
      <c r="W582" s="26">
        <f t="shared" si="92"/>
        <v>0</v>
      </c>
      <c r="X582" s="5">
        <f t="shared" si="93"/>
        <v>0</v>
      </c>
      <c r="Y582" s="5"/>
      <c r="AA582" s="63">
        <f t="shared" si="94"/>
        <v>0</v>
      </c>
      <c r="AB582" s="5">
        <f t="shared" si="95"/>
        <v>0</v>
      </c>
      <c r="AP582" s="3">
        <v>569</v>
      </c>
      <c r="AR582" s="14">
        <f t="shared" si="89"/>
        <v>0</v>
      </c>
      <c r="AS582" s="17" t="e">
        <f>IF(OR(AS581=0,AS581&gt;=#REF!),0,FV($O$1,AP582,-#REF!,0,1))</f>
        <v>#REF!</v>
      </c>
      <c r="AU582" s="5">
        <f t="shared" si="88"/>
        <v>0</v>
      </c>
    </row>
    <row r="583" spans="12:47" hidden="1" x14ac:dyDescent="0.25">
      <c r="L583" s="2" t="str">
        <f t="shared" si="97"/>
        <v/>
      </c>
      <c r="M583" s="45">
        <f t="shared" si="96"/>
        <v>46</v>
      </c>
      <c r="N583" s="36">
        <v>563</v>
      </c>
      <c r="O583" s="91">
        <f t="shared" si="90"/>
        <v>0</v>
      </c>
      <c r="P583" s="38">
        <f t="shared" si="91"/>
        <v>0</v>
      </c>
      <c r="W583" s="26">
        <f t="shared" si="92"/>
        <v>0</v>
      </c>
      <c r="X583" s="5">
        <f t="shared" si="93"/>
        <v>0</v>
      </c>
      <c r="Y583" s="5"/>
      <c r="AA583" s="63">
        <f t="shared" si="94"/>
        <v>0</v>
      </c>
      <c r="AB583" s="5">
        <f t="shared" si="95"/>
        <v>0</v>
      </c>
      <c r="AP583" s="3">
        <v>570</v>
      </c>
      <c r="AR583" s="14">
        <f t="shared" si="89"/>
        <v>0</v>
      </c>
      <c r="AS583" s="17" t="e">
        <f>IF(OR(AS582=0,AS582&gt;=#REF!),0,FV($O$1,AP583,-#REF!,0,1))</f>
        <v>#REF!</v>
      </c>
      <c r="AU583" s="5">
        <f t="shared" si="88"/>
        <v>0</v>
      </c>
    </row>
    <row r="584" spans="12:47" hidden="1" x14ac:dyDescent="0.25">
      <c r="L584" s="2" t="str">
        <f t="shared" si="97"/>
        <v/>
      </c>
      <c r="M584" s="45">
        <f t="shared" si="96"/>
        <v>46</v>
      </c>
      <c r="N584" s="36">
        <v>564</v>
      </c>
      <c r="O584" s="91">
        <f t="shared" si="90"/>
        <v>0</v>
      </c>
      <c r="P584" s="38">
        <f t="shared" si="91"/>
        <v>0</v>
      </c>
      <c r="W584" s="26">
        <f t="shared" si="92"/>
        <v>0</v>
      </c>
      <c r="X584" s="5">
        <f t="shared" si="93"/>
        <v>0</v>
      </c>
      <c r="Y584" s="5"/>
      <c r="AA584" s="63">
        <f t="shared" si="94"/>
        <v>0</v>
      </c>
      <c r="AB584" s="5">
        <f t="shared" si="95"/>
        <v>0</v>
      </c>
      <c r="AP584" s="3">
        <v>571</v>
      </c>
      <c r="AR584" s="14">
        <f t="shared" si="89"/>
        <v>0</v>
      </c>
      <c r="AS584" s="17" t="e">
        <f>IF(OR(AS583=0,AS583&gt;=#REF!),0,FV($O$1,AP584,-#REF!,0,1))</f>
        <v>#REF!</v>
      </c>
      <c r="AU584" s="5">
        <f t="shared" si="88"/>
        <v>0</v>
      </c>
    </row>
    <row r="585" spans="12:47" hidden="1" x14ac:dyDescent="0.25">
      <c r="L585" s="2" t="str">
        <f t="shared" si="97"/>
        <v/>
      </c>
      <c r="M585" s="45">
        <f t="shared" si="96"/>
        <v>47</v>
      </c>
      <c r="N585" s="36">
        <v>565</v>
      </c>
      <c r="O585" s="91">
        <f t="shared" si="90"/>
        <v>0</v>
      </c>
      <c r="P585" s="38">
        <f t="shared" si="91"/>
        <v>0</v>
      </c>
      <c r="W585" s="26">
        <f t="shared" si="92"/>
        <v>0</v>
      </c>
      <c r="X585" s="5">
        <f t="shared" si="93"/>
        <v>0</v>
      </c>
      <c r="Y585" s="5"/>
      <c r="AA585" s="63">
        <f t="shared" si="94"/>
        <v>0</v>
      </c>
      <c r="AB585" s="5">
        <f t="shared" si="95"/>
        <v>0</v>
      </c>
      <c r="AP585" s="3">
        <v>572</v>
      </c>
      <c r="AR585" s="14">
        <f t="shared" si="89"/>
        <v>0</v>
      </c>
      <c r="AS585" s="17" t="e">
        <f>IF(OR(AS584=0,AS584&gt;=#REF!),0,FV($O$1,AP585,-#REF!,0,1))</f>
        <v>#REF!</v>
      </c>
      <c r="AU585" s="5">
        <f t="shared" si="88"/>
        <v>0</v>
      </c>
    </row>
    <row r="586" spans="12:47" hidden="1" x14ac:dyDescent="0.25">
      <c r="L586" s="2" t="str">
        <f t="shared" si="97"/>
        <v/>
      </c>
      <c r="M586" s="45">
        <f t="shared" si="96"/>
        <v>47</v>
      </c>
      <c r="N586" s="36">
        <v>566</v>
      </c>
      <c r="O586" s="91">
        <f t="shared" si="90"/>
        <v>0</v>
      </c>
      <c r="P586" s="38">
        <f t="shared" si="91"/>
        <v>0</v>
      </c>
      <c r="W586" s="26">
        <f t="shared" si="92"/>
        <v>0</v>
      </c>
      <c r="X586" s="5">
        <f t="shared" si="93"/>
        <v>0</v>
      </c>
      <c r="Y586" s="5"/>
      <c r="AA586" s="63">
        <f t="shared" si="94"/>
        <v>0</v>
      </c>
      <c r="AB586" s="5">
        <f t="shared" si="95"/>
        <v>0</v>
      </c>
      <c r="AP586" s="3">
        <v>573</v>
      </c>
      <c r="AR586" s="14">
        <f t="shared" si="89"/>
        <v>0</v>
      </c>
      <c r="AS586" s="17" t="e">
        <f>IF(OR(AS585=0,AS585&gt;=#REF!),0,FV($O$1,AP586,-#REF!,0,1))</f>
        <v>#REF!</v>
      </c>
      <c r="AU586" s="5">
        <f t="shared" si="88"/>
        <v>0</v>
      </c>
    </row>
    <row r="587" spans="12:47" hidden="1" x14ac:dyDescent="0.25">
      <c r="L587" s="2" t="str">
        <f t="shared" si="97"/>
        <v/>
      </c>
      <c r="M587" s="45">
        <f t="shared" si="96"/>
        <v>47</v>
      </c>
      <c r="N587" s="36">
        <v>567</v>
      </c>
      <c r="O587" s="91">
        <f t="shared" si="90"/>
        <v>0</v>
      </c>
      <c r="P587" s="38">
        <f t="shared" si="91"/>
        <v>0</v>
      </c>
      <c r="W587" s="26">
        <f t="shared" si="92"/>
        <v>0</v>
      </c>
      <c r="X587" s="5">
        <f t="shared" si="93"/>
        <v>0</v>
      </c>
      <c r="Y587" s="5"/>
      <c r="AA587" s="63">
        <f t="shared" si="94"/>
        <v>0</v>
      </c>
      <c r="AB587" s="5">
        <f t="shared" si="95"/>
        <v>0</v>
      </c>
      <c r="AP587" s="3">
        <v>574</v>
      </c>
      <c r="AR587" s="14">
        <f t="shared" si="89"/>
        <v>0</v>
      </c>
      <c r="AS587" s="17" t="e">
        <f>IF(OR(AS586=0,AS586&gt;=#REF!),0,FV($O$1,AP587,-#REF!,0,1))</f>
        <v>#REF!</v>
      </c>
      <c r="AU587" s="5">
        <f t="shared" si="88"/>
        <v>0</v>
      </c>
    </row>
    <row r="588" spans="12:47" hidden="1" x14ac:dyDescent="0.25">
      <c r="L588" s="2" t="str">
        <f t="shared" si="97"/>
        <v/>
      </c>
      <c r="M588" s="45">
        <f t="shared" si="96"/>
        <v>47</v>
      </c>
      <c r="N588" s="36">
        <v>568</v>
      </c>
      <c r="O588" s="91">
        <f t="shared" si="90"/>
        <v>0</v>
      </c>
      <c r="P588" s="38">
        <f t="shared" si="91"/>
        <v>0</v>
      </c>
      <c r="W588" s="26">
        <f t="shared" si="92"/>
        <v>0</v>
      </c>
      <c r="X588" s="5">
        <f t="shared" si="93"/>
        <v>0</v>
      </c>
      <c r="Y588" s="5"/>
      <c r="AA588" s="63">
        <f t="shared" si="94"/>
        <v>0</v>
      </c>
      <c r="AB588" s="5">
        <f t="shared" si="95"/>
        <v>0</v>
      </c>
      <c r="AP588" s="3">
        <v>575</v>
      </c>
      <c r="AR588" s="14">
        <f t="shared" si="89"/>
        <v>0</v>
      </c>
      <c r="AS588" s="17" t="e">
        <f>IF(OR(AS587=0,AS587&gt;=#REF!),0,FV($O$1,AP588,-#REF!,0,1))</f>
        <v>#REF!</v>
      </c>
      <c r="AU588" s="5">
        <f t="shared" si="88"/>
        <v>0</v>
      </c>
    </row>
    <row r="589" spans="12:47" hidden="1" x14ac:dyDescent="0.25">
      <c r="L589" s="2" t="str">
        <f t="shared" si="97"/>
        <v/>
      </c>
      <c r="M589" s="45">
        <f t="shared" si="96"/>
        <v>47</v>
      </c>
      <c r="N589" s="36">
        <v>569</v>
      </c>
      <c r="O589" s="91">
        <f t="shared" si="90"/>
        <v>0</v>
      </c>
      <c r="P589" s="38">
        <f t="shared" si="91"/>
        <v>0</v>
      </c>
      <c r="W589" s="26">
        <f t="shared" si="92"/>
        <v>0</v>
      </c>
      <c r="X589" s="5">
        <f t="shared" si="93"/>
        <v>0</v>
      </c>
      <c r="Y589" s="5"/>
      <c r="AA589" s="63">
        <f t="shared" si="94"/>
        <v>0</v>
      </c>
      <c r="AB589" s="5">
        <f t="shared" si="95"/>
        <v>0</v>
      </c>
      <c r="AP589" s="3">
        <v>576</v>
      </c>
      <c r="AR589" s="14">
        <f t="shared" si="89"/>
        <v>0</v>
      </c>
      <c r="AS589" s="17" t="e">
        <f>IF(OR(AS588=0,AS588&gt;=#REF!),0,FV($O$1,AP589,-#REF!,0,1))</f>
        <v>#REF!</v>
      </c>
      <c r="AU589" s="5">
        <f t="shared" si="88"/>
        <v>0</v>
      </c>
    </row>
    <row r="590" spans="12:47" hidden="1" x14ac:dyDescent="0.25">
      <c r="L590" s="2" t="str">
        <f t="shared" si="97"/>
        <v/>
      </c>
      <c r="M590" s="45">
        <f t="shared" si="96"/>
        <v>47</v>
      </c>
      <c r="N590" s="36">
        <v>570</v>
      </c>
      <c r="O590" s="91">
        <f t="shared" si="90"/>
        <v>0</v>
      </c>
      <c r="P590" s="38">
        <f t="shared" si="91"/>
        <v>0</v>
      </c>
      <c r="W590" s="26">
        <f t="shared" si="92"/>
        <v>0</v>
      </c>
      <c r="X590" s="5">
        <f t="shared" si="93"/>
        <v>0</v>
      </c>
      <c r="Y590" s="5"/>
      <c r="AA590" s="63">
        <f t="shared" si="94"/>
        <v>0</v>
      </c>
      <c r="AB590" s="5">
        <f t="shared" si="95"/>
        <v>0</v>
      </c>
      <c r="AP590" s="3">
        <v>577</v>
      </c>
      <c r="AR590" s="14">
        <f t="shared" si="89"/>
        <v>0</v>
      </c>
      <c r="AS590" s="17" t="e">
        <f>IF(OR(AS589=0,AS589&gt;=#REF!),0,FV($O$1,AP590,-#REF!,0,1))</f>
        <v>#REF!</v>
      </c>
      <c r="AU590" s="5">
        <f t="shared" si="88"/>
        <v>0</v>
      </c>
    </row>
    <row r="591" spans="12:47" hidden="1" x14ac:dyDescent="0.25">
      <c r="L591" s="2" t="str">
        <f t="shared" si="97"/>
        <v/>
      </c>
      <c r="M591" s="45">
        <f t="shared" si="96"/>
        <v>47</v>
      </c>
      <c r="N591" s="36">
        <v>571</v>
      </c>
      <c r="O591" s="91">
        <f t="shared" si="90"/>
        <v>0</v>
      </c>
      <c r="P591" s="38">
        <f t="shared" si="91"/>
        <v>0</v>
      </c>
      <c r="W591" s="26">
        <f t="shared" si="92"/>
        <v>0</v>
      </c>
      <c r="X591" s="5">
        <f t="shared" si="93"/>
        <v>0</v>
      </c>
      <c r="Y591" s="5"/>
      <c r="AA591" s="63">
        <f t="shared" si="94"/>
        <v>0</v>
      </c>
      <c r="AB591" s="5">
        <f t="shared" si="95"/>
        <v>0</v>
      </c>
      <c r="AP591" s="3">
        <v>578</v>
      </c>
      <c r="AR591" s="14">
        <f t="shared" si="89"/>
        <v>0</v>
      </c>
      <c r="AS591" s="17" t="e">
        <f>IF(OR(AS590=0,AS590&gt;=#REF!),0,FV($O$1,AP591,-#REF!,0,1))</f>
        <v>#REF!</v>
      </c>
      <c r="AU591" s="5">
        <f t="shared" ref="AU591:AU613" si="98">X598</f>
        <v>0</v>
      </c>
    </row>
    <row r="592" spans="12:47" hidden="1" x14ac:dyDescent="0.25">
      <c r="L592" s="2" t="str">
        <f t="shared" si="97"/>
        <v/>
      </c>
      <c r="M592" s="45">
        <f t="shared" si="96"/>
        <v>47</v>
      </c>
      <c r="N592" s="36">
        <v>572</v>
      </c>
      <c r="O592" s="91">
        <f t="shared" si="90"/>
        <v>0</v>
      </c>
      <c r="P592" s="38">
        <f t="shared" si="91"/>
        <v>0</v>
      </c>
      <c r="W592" s="26">
        <f t="shared" si="92"/>
        <v>0</v>
      </c>
      <c r="X592" s="5">
        <f t="shared" si="93"/>
        <v>0</v>
      </c>
      <c r="Y592" s="5"/>
      <c r="AA592" s="63">
        <f t="shared" si="94"/>
        <v>0</v>
      </c>
      <c r="AB592" s="5">
        <f t="shared" si="95"/>
        <v>0</v>
      </c>
      <c r="AP592" s="3">
        <v>579</v>
      </c>
      <c r="AR592" s="14">
        <f t="shared" si="89"/>
        <v>0</v>
      </c>
      <c r="AS592" s="17" t="e">
        <f>IF(OR(AS591=0,AS591&gt;=#REF!),0,FV($O$1,AP592,-#REF!,0,1))</f>
        <v>#REF!</v>
      </c>
      <c r="AU592" s="5">
        <f t="shared" si="98"/>
        <v>0</v>
      </c>
    </row>
    <row r="593" spans="12:47" hidden="1" x14ac:dyDescent="0.25">
      <c r="L593" s="2" t="str">
        <f t="shared" si="97"/>
        <v/>
      </c>
      <c r="M593" s="45">
        <f t="shared" si="96"/>
        <v>47</v>
      </c>
      <c r="N593" s="36">
        <v>573</v>
      </c>
      <c r="O593" s="91">
        <f t="shared" si="90"/>
        <v>0</v>
      </c>
      <c r="P593" s="38">
        <f t="shared" si="91"/>
        <v>0</v>
      </c>
      <c r="W593" s="26">
        <f t="shared" si="92"/>
        <v>0</v>
      </c>
      <c r="X593" s="5">
        <f t="shared" si="93"/>
        <v>0</v>
      </c>
      <c r="Y593" s="5"/>
      <c r="AA593" s="63">
        <f t="shared" si="94"/>
        <v>0</v>
      </c>
      <c r="AB593" s="5">
        <f t="shared" si="95"/>
        <v>0</v>
      </c>
      <c r="AP593" s="3">
        <v>580</v>
      </c>
      <c r="AR593" s="14">
        <f t="shared" si="89"/>
        <v>0</v>
      </c>
      <c r="AS593" s="17" t="e">
        <f>IF(OR(AS592=0,AS592&gt;=#REF!),0,FV($O$1,AP593,-#REF!,0,1))</f>
        <v>#REF!</v>
      </c>
      <c r="AU593" s="5">
        <f t="shared" si="98"/>
        <v>0</v>
      </c>
    </row>
    <row r="594" spans="12:47" hidden="1" x14ac:dyDescent="0.25">
      <c r="L594" s="2" t="str">
        <f t="shared" si="97"/>
        <v/>
      </c>
      <c r="M594" s="45">
        <f t="shared" si="96"/>
        <v>47</v>
      </c>
      <c r="N594" s="36">
        <v>574</v>
      </c>
      <c r="O594" s="91">
        <f t="shared" si="90"/>
        <v>0</v>
      </c>
      <c r="P594" s="38">
        <f t="shared" si="91"/>
        <v>0</v>
      </c>
      <c r="W594" s="26">
        <f t="shared" si="92"/>
        <v>0</v>
      </c>
      <c r="X594" s="5">
        <f t="shared" si="93"/>
        <v>0</v>
      </c>
      <c r="Y594" s="5"/>
      <c r="AA594" s="63">
        <f t="shared" si="94"/>
        <v>0</v>
      </c>
      <c r="AB594" s="5">
        <f t="shared" si="95"/>
        <v>0</v>
      </c>
      <c r="AP594" s="3">
        <v>581</v>
      </c>
      <c r="AR594" s="14">
        <f t="shared" ref="AR594:AR613" si="99">IF(AP594&lt;=$X$3,FV($O$1,AP594,-$X$5,0,1),0)</f>
        <v>0</v>
      </c>
      <c r="AS594" s="17" t="e">
        <f>IF(OR(AS593=0,AS593&gt;=#REF!),0,FV($O$1,AP594,-#REF!,0,1))</f>
        <v>#REF!</v>
      </c>
      <c r="AU594" s="5">
        <f t="shared" si="98"/>
        <v>0</v>
      </c>
    </row>
    <row r="595" spans="12:47" hidden="1" x14ac:dyDescent="0.25">
      <c r="L595" s="2" t="str">
        <f t="shared" si="97"/>
        <v/>
      </c>
      <c r="M595" s="45">
        <f t="shared" si="96"/>
        <v>47</v>
      </c>
      <c r="N595" s="36">
        <v>575</v>
      </c>
      <c r="O595" s="91">
        <f t="shared" si="90"/>
        <v>0</v>
      </c>
      <c r="P595" s="38">
        <f t="shared" si="91"/>
        <v>0</v>
      </c>
      <c r="W595" s="26">
        <f t="shared" si="92"/>
        <v>0</v>
      </c>
      <c r="X595" s="5">
        <f t="shared" si="93"/>
        <v>0</v>
      </c>
      <c r="Y595" s="5"/>
      <c r="AA595" s="63">
        <f t="shared" si="94"/>
        <v>0</v>
      </c>
      <c r="AB595" s="5">
        <f t="shared" si="95"/>
        <v>0</v>
      </c>
      <c r="AP595" s="3">
        <v>582</v>
      </c>
      <c r="AR595" s="14">
        <f t="shared" si="99"/>
        <v>0</v>
      </c>
      <c r="AS595" s="17" t="e">
        <f>IF(OR(AS594=0,AS594&gt;=#REF!),0,FV($O$1,AP595,-#REF!,0,1))</f>
        <v>#REF!</v>
      </c>
      <c r="AU595" s="5">
        <f t="shared" si="98"/>
        <v>0</v>
      </c>
    </row>
    <row r="596" spans="12:47" hidden="1" x14ac:dyDescent="0.25">
      <c r="L596" s="2" t="str">
        <f t="shared" si="97"/>
        <v/>
      </c>
      <c r="M596" s="45">
        <f t="shared" si="96"/>
        <v>47</v>
      </c>
      <c r="N596" s="36">
        <v>576</v>
      </c>
      <c r="O596" s="91">
        <f t="shared" si="90"/>
        <v>0</v>
      </c>
      <c r="P596" s="38">
        <f t="shared" si="91"/>
        <v>0</v>
      </c>
      <c r="W596" s="26">
        <f t="shared" si="92"/>
        <v>0</v>
      </c>
      <c r="X596" s="5">
        <f t="shared" si="93"/>
        <v>0</v>
      </c>
      <c r="Y596" s="5"/>
      <c r="AA596" s="63">
        <f t="shared" si="94"/>
        <v>0</v>
      </c>
      <c r="AB596" s="5">
        <f t="shared" si="95"/>
        <v>0</v>
      </c>
      <c r="AP596" s="3">
        <v>583</v>
      </c>
      <c r="AR596" s="14">
        <f t="shared" si="99"/>
        <v>0</v>
      </c>
      <c r="AS596" s="17" t="e">
        <f>IF(OR(AS595=0,AS595&gt;=#REF!),0,FV($O$1,AP596,-#REF!,0,1))</f>
        <v>#REF!</v>
      </c>
      <c r="AU596" s="5">
        <f t="shared" si="98"/>
        <v>0</v>
      </c>
    </row>
    <row r="597" spans="12:47" hidden="1" x14ac:dyDescent="0.25">
      <c r="L597" s="2">
        <f t="shared" si="97"/>
        <v>4</v>
      </c>
      <c r="M597" s="45">
        <f t="shared" si="96"/>
        <v>48</v>
      </c>
      <c r="N597" s="36">
        <v>577</v>
      </c>
      <c r="O597" s="91">
        <f t="shared" ref="O597:O660" si="100">IF(N597&lt;=InvMonths,SU_Amt*(1+GRate)^M597,0)</f>
        <v>0</v>
      </c>
      <c r="P597" s="38">
        <f t="shared" ref="P597:P660" si="101">FV(SIPRate,InvMonths-N597+1,0,-O597,1)</f>
        <v>0</v>
      </c>
      <c r="W597" s="26">
        <f t="shared" ref="W597:W660" si="102">IF(N597&lt;=InvMonths,$X$18,0)</f>
        <v>0</v>
      </c>
      <c r="X597" s="5">
        <f t="shared" ref="X597:X620" si="103">FV(SIPRate,(InvMonths-N597+1),0,-W597,1)</f>
        <v>0</v>
      </c>
      <c r="Y597" s="5"/>
      <c r="AA597" s="63">
        <f t="shared" ref="AA597:AA660" si="104">IF(N597&lt;=InvMonths,$AB$18*(1+$C$32)^M597,0)</f>
        <v>0</v>
      </c>
      <c r="AB597" s="5">
        <f t="shared" ref="AB597:AB620" si="105">FV(SIPRate,(InvMonths-N597+1),0,-AA597,1)</f>
        <v>0</v>
      </c>
      <c r="AP597" s="3">
        <v>584</v>
      </c>
      <c r="AR597" s="14">
        <f t="shared" si="99"/>
        <v>0</v>
      </c>
      <c r="AS597" s="17" t="e">
        <f>IF(OR(AS596=0,AS596&gt;=#REF!),0,FV($O$1,AP597,-#REF!,0,1))</f>
        <v>#REF!</v>
      </c>
      <c r="AU597" s="5">
        <f t="shared" si="98"/>
        <v>0</v>
      </c>
    </row>
    <row r="598" spans="12:47" hidden="1" x14ac:dyDescent="0.25">
      <c r="L598" s="2">
        <f t="shared" si="97"/>
        <v>4</v>
      </c>
      <c r="M598" s="45">
        <f t="shared" ref="M598:M661" si="106">IF(MOD(N598,12)=0,(N598/12)-1,QUOTIENT(N598,12))</f>
        <v>48</v>
      </c>
      <c r="N598" s="36">
        <v>578</v>
      </c>
      <c r="O598" s="91">
        <f t="shared" si="100"/>
        <v>0</v>
      </c>
      <c r="P598" s="38">
        <f t="shared" si="101"/>
        <v>0</v>
      </c>
      <c r="W598" s="26">
        <f t="shared" si="102"/>
        <v>0</v>
      </c>
      <c r="X598" s="5">
        <f t="shared" si="103"/>
        <v>0</v>
      </c>
      <c r="Y598" s="5"/>
      <c r="AA598" s="63">
        <f t="shared" si="104"/>
        <v>0</v>
      </c>
      <c r="AB598" s="5">
        <f t="shared" si="105"/>
        <v>0</v>
      </c>
      <c r="AP598" s="3">
        <v>585</v>
      </c>
      <c r="AR598" s="14">
        <f t="shared" si="99"/>
        <v>0</v>
      </c>
      <c r="AS598" s="17" t="e">
        <f>IF(OR(AS597=0,AS597&gt;=#REF!),0,FV($O$1,AP598,-#REF!,0,1))</f>
        <v>#REF!</v>
      </c>
      <c r="AU598" s="5">
        <f t="shared" si="98"/>
        <v>0</v>
      </c>
    </row>
    <row r="599" spans="12:47" hidden="1" x14ac:dyDescent="0.25">
      <c r="L599" s="2">
        <f t="shared" si="97"/>
        <v>4</v>
      </c>
      <c r="M599" s="45">
        <f t="shared" si="106"/>
        <v>48</v>
      </c>
      <c r="N599" s="36">
        <v>579</v>
      </c>
      <c r="O599" s="91">
        <f t="shared" si="100"/>
        <v>0</v>
      </c>
      <c r="P599" s="38">
        <f t="shared" si="101"/>
        <v>0</v>
      </c>
      <c r="W599" s="26">
        <f t="shared" si="102"/>
        <v>0</v>
      </c>
      <c r="X599" s="5">
        <f t="shared" si="103"/>
        <v>0</v>
      </c>
      <c r="Y599" s="5"/>
      <c r="AA599" s="63">
        <f t="shared" si="104"/>
        <v>0</v>
      </c>
      <c r="AB599" s="5">
        <f t="shared" si="105"/>
        <v>0</v>
      </c>
      <c r="AP599" s="3">
        <v>586</v>
      </c>
      <c r="AR599" s="14">
        <f t="shared" si="99"/>
        <v>0</v>
      </c>
      <c r="AS599" s="17" t="e">
        <f>IF(OR(AS598=0,AS598&gt;=#REF!),0,FV($O$1,AP599,-#REF!,0,1))</f>
        <v>#REF!</v>
      </c>
      <c r="AU599" s="5">
        <f t="shared" si="98"/>
        <v>0</v>
      </c>
    </row>
    <row r="600" spans="12:47" hidden="1" x14ac:dyDescent="0.25">
      <c r="L600" s="2">
        <f t="shared" si="97"/>
        <v>4</v>
      </c>
      <c r="M600" s="45">
        <f t="shared" si="106"/>
        <v>48</v>
      </c>
      <c r="N600" s="36">
        <v>580</v>
      </c>
      <c r="O600" s="91">
        <f t="shared" si="100"/>
        <v>0</v>
      </c>
      <c r="P600" s="38">
        <f t="shared" si="101"/>
        <v>0</v>
      </c>
      <c r="W600" s="26">
        <f t="shared" si="102"/>
        <v>0</v>
      </c>
      <c r="X600" s="5">
        <f t="shared" si="103"/>
        <v>0</v>
      </c>
      <c r="Y600" s="5"/>
      <c r="AA600" s="63">
        <f t="shared" si="104"/>
        <v>0</v>
      </c>
      <c r="AB600" s="5">
        <f t="shared" si="105"/>
        <v>0</v>
      </c>
      <c r="AP600" s="3">
        <v>587</v>
      </c>
      <c r="AR600" s="14">
        <f t="shared" si="99"/>
        <v>0</v>
      </c>
      <c r="AS600" s="17" t="e">
        <f>IF(OR(AS599=0,AS599&gt;=#REF!),0,FV($O$1,AP600,-#REF!,0,1))</f>
        <v>#REF!</v>
      </c>
      <c r="AU600" s="5">
        <f t="shared" si="98"/>
        <v>0</v>
      </c>
    </row>
    <row r="601" spans="12:47" hidden="1" x14ac:dyDescent="0.25">
      <c r="L601" s="2">
        <f t="shared" si="97"/>
        <v>4</v>
      </c>
      <c r="M601" s="45">
        <f t="shared" si="106"/>
        <v>48</v>
      </c>
      <c r="N601" s="36">
        <v>581</v>
      </c>
      <c r="O601" s="91">
        <f t="shared" si="100"/>
        <v>0</v>
      </c>
      <c r="P601" s="38">
        <f t="shared" si="101"/>
        <v>0</v>
      </c>
      <c r="W601" s="26">
        <f t="shared" si="102"/>
        <v>0</v>
      </c>
      <c r="X601" s="5">
        <f t="shared" si="103"/>
        <v>0</v>
      </c>
      <c r="Y601" s="5"/>
      <c r="AA601" s="63">
        <f t="shared" si="104"/>
        <v>0</v>
      </c>
      <c r="AB601" s="5">
        <f t="shared" si="105"/>
        <v>0</v>
      </c>
      <c r="AP601" s="3">
        <v>588</v>
      </c>
      <c r="AR601" s="14">
        <f t="shared" si="99"/>
        <v>0</v>
      </c>
      <c r="AS601" s="17" t="e">
        <f>IF(OR(AS600=0,AS600&gt;=#REF!),0,FV($O$1,AP601,-#REF!,0,1))</f>
        <v>#REF!</v>
      </c>
      <c r="AU601" s="5">
        <f t="shared" si="98"/>
        <v>0</v>
      </c>
    </row>
    <row r="602" spans="12:47" hidden="1" x14ac:dyDescent="0.25">
      <c r="L602" s="2">
        <f t="shared" si="97"/>
        <v>4</v>
      </c>
      <c r="M602" s="45">
        <f t="shared" si="106"/>
        <v>48</v>
      </c>
      <c r="N602" s="36">
        <v>582</v>
      </c>
      <c r="O602" s="91">
        <f t="shared" si="100"/>
        <v>0</v>
      </c>
      <c r="P602" s="38">
        <f t="shared" si="101"/>
        <v>0</v>
      </c>
      <c r="W602" s="26">
        <f t="shared" si="102"/>
        <v>0</v>
      </c>
      <c r="X602" s="5">
        <f t="shared" si="103"/>
        <v>0</v>
      </c>
      <c r="Y602" s="5"/>
      <c r="AA602" s="63">
        <f t="shared" si="104"/>
        <v>0</v>
      </c>
      <c r="AB602" s="5">
        <f t="shared" si="105"/>
        <v>0</v>
      </c>
      <c r="AP602" s="3">
        <v>589</v>
      </c>
      <c r="AR602" s="14">
        <f t="shared" si="99"/>
        <v>0</v>
      </c>
      <c r="AS602" s="17" t="e">
        <f>IF(OR(AS601=0,AS601&gt;=#REF!),0,FV($O$1,AP602,-#REF!,0,1))</f>
        <v>#REF!</v>
      </c>
      <c r="AU602" s="5">
        <f t="shared" si="98"/>
        <v>0</v>
      </c>
    </row>
    <row r="603" spans="12:47" hidden="1" x14ac:dyDescent="0.25">
      <c r="L603" s="2">
        <f t="shared" si="97"/>
        <v>4</v>
      </c>
      <c r="M603" s="45">
        <f t="shared" si="106"/>
        <v>48</v>
      </c>
      <c r="N603" s="36">
        <v>583</v>
      </c>
      <c r="O603" s="91">
        <f t="shared" si="100"/>
        <v>0</v>
      </c>
      <c r="P603" s="38">
        <f t="shared" si="101"/>
        <v>0</v>
      </c>
      <c r="W603" s="26">
        <f t="shared" si="102"/>
        <v>0</v>
      </c>
      <c r="X603" s="5">
        <f t="shared" si="103"/>
        <v>0</v>
      </c>
      <c r="Y603" s="5"/>
      <c r="AA603" s="63">
        <f t="shared" si="104"/>
        <v>0</v>
      </c>
      <c r="AB603" s="5">
        <f t="shared" si="105"/>
        <v>0</v>
      </c>
      <c r="AP603" s="3">
        <v>590</v>
      </c>
      <c r="AR603" s="14">
        <f t="shared" si="99"/>
        <v>0</v>
      </c>
      <c r="AS603" s="17" t="e">
        <f>IF(OR(AS602=0,AS602&gt;=#REF!),0,FV($O$1,AP603,-#REF!,0,1))</f>
        <v>#REF!</v>
      </c>
      <c r="AU603" s="5">
        <f t="shared" si="98"/>
        <v>0</v>
      </c>
    </row>
    <row r="604" spans="12:47" hidden="1" x14ac:dyDescent="0.25">
      <c r="L604" s="2">
        <f t="shared" si="97"/>
        <v>4</v>
      </c>
      <c r="M604" s="45">
        <f t="shared" si="106"/>
        <v>48</v>
      </c>
      <c r="N604" s="36">
        <v>584</v>
      </c>
      <c r="O604" s="91">
        <f t="shared" si="100"/>
        <v>0</v>
      </c>
      <c r="P604" s="38">
        <f t="shared" si="101"/>
        <v>0</v>
      </c>
      <c r="W604" s="26">
        <f t="shared" si="102"/>
        <v>0</v>
      </c>
      <c r="X604" s="5">
        <f t="shared" si="103"/>
        <v>0</v>
      </c>
      <c r="Y604" s="5"/>
      <c r="AA604" s="63">
        <f t="shared" si="104"/>
        <v>0</v>
      </c>
      <c r="AB604" s="5">
        <f t="shared" si="105"/>
        <v>0</v>
      </c>
      <c r="AP604" s="3">
        <v>591</v>
      </c>
      <c r="AR604" s="14">
        <f t="shared" si="99"/>
        <v>0</v>
      </c>
      <c r="AS604" s="17" t="e">
        <f>IF(OR(AS603=0,AS603&gt;=#REF!),0,FV($O$1,AP604,-#REF!,0,1))</f>
        <v>#REF!</v>
      </c>
      <c r="AU604" s="5">
        <f t="shared" si="98"/>
        <v>0</v>
      </c>
    </row>
    <row r="605" spans="12:47" hidden="1" x14ac:dyDescent="0.25">
      <c r="L605" s="2">
        <f t="shared" si="97"/>
        <v>4</v>
      </c>
      <c r="M605" s="45">
        <f t="shared" si="106"/>
        <v>48</v>
      </c>
      <c r="N605" s="36">
        <v>585</v>
      </c>
      <c r="O605" s="91">
        <f t="shared" si="100"/>
        <v>0</v>
      </c>
      <c r="P605" s="38">
        <f t="shared" si="101"/>
        <v>0</v>
      </c>
      <c r="W605" s="26">
        <f t="shared" si="102"/>
        <v>0</v>
      </c>
      <c r="X605" s="5">
        <f t="shared" si="103"/>
        <v>0</v>
      </c>
      <c r="Y605" s="5"/>
      <c r="AA605" s="63">
        <f t="shared" si="104"/>
        <v>0</v>
      </c>
      <c r="AB605" s="5">
        <f t="shared" si="105"/>
        <v>0</v>
      </c>
      <c r="AP605" s="3">
        <v>592</v>
      </c>
      <c r="AR605" s="14">
        <f t="shared" si="99"/>
        <v>0</v>
      </c>
      <c r="AS605" s="17" t="e">
        <f>IF(OR(AS604=0,AS604&gt;=#REF!),0,FV($O$1,AP605,-#REF!,0,1))</f>
        <v>#REF!</v>
      </c>
      <c r="AU605" s="5">
        <f t="shared" si="98"/>
        <v>0</v>
      </c>
    </row>
    <row r="606" spans="12:47" hidden="1" x14ac:dyDescent="0.25">
      <c r="L606" s="2">
        <f t="shared" ref="L606:L669" si="107">IF(MOD(M606,12)=0,M606/12,"")</f>
        <v>4</v>
      </c>
      <c r="M606" s="45">
        <f t="shared" si="106"/>
        <v>48</v>
      </c>
      <c r="N606" s="36">
        <v>586</v>
      </c>
      <c r="O606" s="91">
        <f t="shared" si="100"/>
        <v>0</v>
      </c>
      <c r="P606" s="38">
        <f t="shared" si="101"/>
        <v>0</v>
      </c>
      <c r="W606" s="26">
        <f t="shared" si="102"/>
        <v>0</v>
      </c>
      <c r="X606" s="5">
        <f t="shared" si="103"/>
        <v>0</v>
      </c>
      <c r="Y606" s="5"/>
      <c r="AA606" s="63">
        <f t="shared" si="104"/>
        <v>0</v>
      </c>
      <c r="AB606" s="5">
        <f t="shared" si="105"/>
        <v>0</v>
      </c>
      <c r="AP606" s="3">
        <v>593</v>
      </c>
      <c r="AR606" s="14">
        <f t="shared" si="99"/>
        <v>0</v>
      </c>
      <c r="AS606" s="17" t="e">
        <f>IF(OR(AS605=0,AS605&gt;=#REF!),0,FV($O$1,AP606,-#REF!,0,1))</f>
        <v>#REF!</v>
      </c>
      <c r="AU606" s="5">
        <f t="shared" si="98"/>
        <v>0</v>
      </c>
    </row>
    <row r="607" spans="12:47" hidden="1" x14ac:dyDescent="0.25">
      <c r="L607" s="2">
        <f t="shared" si="107"/>
        <v>4</v>
      </c>
      <c r="M607" s="45">
        <f t="shared" si="106"/>
        <v>48</v>
      </c>
      <c r="N607" s="36">
        <v>587</v>
      </c>
      <c r="O607" s="91">
        <f t="shared" si="100"/>
        <v>0</v>
      </c>
      <c r="P607" s="38">
        <f t="shared" si="101"/>
        <v>0</v>
      </c>
      <c r="W607" s="26">
        <f t="shared" si="102"/>
        <v>0</v>
      </c>
      <c r="X607" s="5">
        <f t="shared" si="103"/>
        <v>0</v>
      </c>
      <c r="Y607" s="5"/>
      <c r="AA607" s="63">
        <f t="shared" si="104"/>
        <v>0</v>
      </c>
      <c r="AB607" s="5">
        <f t="shared" si="105"/>
        <v>0</v>
      </c>
      <c r="AP607" s="3">
        <v>594</v>
      </c>
      <c r="AR607" s="14">
        <f t="shared" si="99"/>
        <v>0</v>
      </c>
      <c r="AS607" s="17" t="e">
        <f>IF(OR(AS606=0,AS606&gt;=#REF!),0,FV($O$1,AP607,-#REF!,0,1))</f>
        <v>#REF!</v>
      </c>
      <c r="AU607" s="5">
        <f t="shared" si="98"/>
        <v>0</v>
      </c>
    </row>
    <row r="608" spans="12:47" hidden="1" x14ac:dyDescent="0.25">
      <c r="L608" s="2">
        <f t="shared" si="107"/>
        <v>4</v>
      </c>
      <c r="M608" s="45">
        <f t="shared" si="106"/>
        <v>48</v>
      </c>
      <c r="N608" s="36">
        <v>588</v>
      </c>
      <c r="O608" s="91">
        <f t="shared" si="100"/>
        <v>0</v>
      </c>
      <c r="P608" s="38">
        <f t="shared" si="101"/>
        <v>0</v>
      </c>
      <c r="W608" s="26">
        <f t="shared" si="102"/>
        <v>0</v>
      </c>
      <c r="X608" s="5">
        <f t="shared" si="103"/>
        <v>0</v>
      </c>
      <c r="Y608" s="5"/>
      <c r="AA608" s="63">
        <f t="shared" si="104"/>
        <v>0</v>
      </c>
      <c r="AB608" s="5">
        <f t="shared" si="105"/>
        <v>0</v>
      </c>
      <c r="AP608" s="3">
        <v>595</v>
      </c>
      <c r="AR608" s="14">
        <f t="shared" si="99"/>
        <v>0</v>
      </c>
      <c r="AS608" s="17" t="e">
        <f>IF(OR(AS607=0,AS607&gt;=#REF!),0,FV($O$1,AP608,-#REF!,0,1))</f>
        <v>#REF!</v>
      </c>
      <c r="AU608" s="5">
        <f t="shared" si="98"/>
        <v>0</v>
      </c>
    </row>
    <row r="609" spans="12:47" hidden="1" x14ac:dyDescent="0.25">
      <c r="L609" s="2" t="str">
        <f t="shared" si="107"/>
        <v/>
      </c>
      <c r="M609" s="45">
        <f t="shared" si="106"/>
        <v>49</v>
      </c>
      <c r="N609" s="36">
        <v>589</v>
      </c>
      <c r="O609" s="91">
        <f t="shared" si="100"/>
        <v>0</v>
      </c>
      <c r="P609" s="38">
        <f t="shared" si="101"/>
        <v>0</v>
      </c>
      <c r="W609" s="26">
        <f t="shared" si="102"/>
        <v>0</v>
      </c>
      <c r="X609" s="5">
        <f t="shared" si="103"/>
        <v>0</v>
      </c>
      <c r="Y609" s="5"/>
      <c r="AA609" s="63">
        <f t="shared" si="104"/>
        <v>0</v>
      </c>
      <c r="AB609" s="5">
        <f t="shared" si="105"/>
        <v>0</v>
      </c>
      <c r="AP609" s="3">
        <v>596</v>
      </c>
      <c r="AR609" s="14">
        <f t="shared" si="99"/>
        <v>0</v>
      </c>
      <c r="AS609" s="17" t="e">
        <f>IF(OR(AS608=0,AS608&gt;=#REF!),0,FV($O$1,AP609,-#REF!,0,1))</f>
        <v>#REF!</v>
      </c>
      <c r="AU609" s="5">
        <f t="shared" si="98"/>
        <v>0</v>
      </c>
    </row>
    <row r="610" spans="12:47" hidden="1" x14ac:dyDescent="0.25">
      <c r="L610" s="2" t="str">
        <f t="shared" si="107"/>
        <v/>
      </c>
      <c r="M610" s="45">
        <f t="shared" si="106"/>
        <v>49</v>
      </c>
      <c r="N610" s="36">
        <v>590</v>
      </c>
      <c r="O610" s="91">
        <f t="shared" si="100"/>
        <v>0</v>
      </c>
      <c r="P610" s="38">
        <f t="shared" si="101"/>
        <v>0</v>
      </c>
      <c r="W610" s="26">
        <f t="shared" si="102"/>
        <v>0</v>
      </c>
      <c r="X610" s="5">
        <f t="shared" si="103"/>
        <v>0</v>
      </c>
      <c r="Y610" s="5"/>
      <c r="AA610" s="63">
        <f t="shared" si="104"/>
        <v>0</v>
      </c>
      <c r="AB610" s="5">
        <f t="shared" si="105"/>
        <v>0</v>
      </c>
      <c r="AP610" s="3">
        <v>597</v>
      </c>
      <c r="AR610" s="14">
        <f t="shared" si="99"/>
        <v>0</v>
      </c>
      <c r="AS610" s="17" t="e">
        <f>IF(OR(AS609=0,AS609&gt;=#REF!),0,FV($O$1,AP610,-#REF!,0,1))</f>
        <v>#REF!</v>
      </c>
      <c r="AU610" s="5">
        <f t="shared" si="98"/>
        <v>0</v>
      </c>
    </row>
    <row r="611" spans="12:47" hidden="1" x14ac:dyDescent="0.25">
      <c r="L611" s="2" t="str">
        <f t="shared" si="107"/>
        <v/>
      </c>
      <c r="M611" s="45">
        <f t="shared" si="106"/>
        <v>49</v>
      </c>
      <c r="N611" s="36">
        <v>591</v>
      </c>
      <c r="O611" s="91">
        <f t="shared" si="100"/>
        <v>0</v>
      </c>
      <c r="P611" s="38">
        <f t="shared" si="101"/>
        <v>0</v>
      </c>
      <c r="W611" s="26">
        <f t="shared" si="102"/>
        <v>0</v>
      </c>
      <c r="X611" s="5">
        <f t="shared" si="103"/>
        <v>0</v>
      </c>
      <c r="Y611" s="5"/>
      <c r="AA611" s="63">
        <f t="shared" si="104"/>
        <v>0</v>
      </c>
      <c r="AB611" s="5">
        <f t="shared" si="105"/>
        <v>0</v>
      </c>
      <c r="AP611" s="3">
        <v>598</v>
      </c>
      <c r="AR611" s="14">
        <f t="shared" si="99"/>
        <v>0</v>
      </c>
      <c r="AS611" s="17" t="e">
        <f>IF(OR(AS610=0,AS610&gt;=#REF!),0,FV($O$1,AP611,-#REF!,0,1))</f>
        <v>#REF!</v>
      </c>
      <c r="AU611" s="5">
        <f t="shared" si="98"/>
        <v>0</v>
      </c>
    </row>
    <row r="612" spans="12:47" hidden="1" x14ac:dyDescent="0.25">
      <c r="L612" s="2" t="str">
        <f t="shared" si="107"/>
        <v/>
      </c>
      <c r="M612" s="45">
        <f t="shared" si="106"/>
        <v>49</v>
      </c>
      <c r="N612" s="36">
        <v>592</v>
      </c>
      <c r="O612" s="91">
        <f t="shared" si="100"/>
        <v>0</v>
      </c>
      <c r="P612" s="38">
        <f t="shared" si="101"/>
        <v>0</v>
      </c>
      <c r="W612" s="26">
        <f t="shared" si="102"/>
        <v>0</v>
      </c>
      <c r="X612" s="5">
        <f t="shared" si="103"/>
        <v>0</v>
      </c>
      <c r="Y612" s="5"/>
      <c r="AA612" s="63">
        <f t="shared" si="104"/>
        <v>0</v>
      </c>
      <c r="AB612" s="5">
        <f t="shared" si="105"/>
        <v>0</v>
      </c>
      <c r="AP612" s="3">
        <v>599</v>
      </c>
      <c r="AR612" s="14">
        <f t="shared" si="99"/>
        <v>0</v>
      </c>
      <c r="AS612" s="17" t="e">
        <f>IF(OR(AS611=0,AS611&gt;=#REF!),0,FV($O$1,AP612,-#REF!,0,1))</f>
        <v>#REF!</v>
      </c>
      <c r="AU612" s="5">
        <f t="shared" si="98"/>
        <v>0</v>
      </c>
    </row>
    <row r="613" spans="12:47" hidden="1" x14ac:dyDescent="0.25">
      <c r="L613" s="2" t="str">
        <f t="shared" si="107"/>
        <v/>
      </c>
      <c r="M613" s="45">
        <f t="shared" si="106"/>
        <v>49</v>
      </c>
      <c r="N613" s="36">
        <v>593</v>
      </c>
      <c r="O613" s="91">
        <f t="shared" si="100"/>
        <v>0</v>
      </c>
      <c r="P613" s="38">
        <f t="shared" si="101"/>
        <v>0</v>
      </c>
      <c r="W613" s="26">
        <f t="shared" si="102"/>
        <v>0</v>
      </c>
      <c r="X613" s="5">
        <f t="shared" si="103"/>
        <v>0</v>
      </c>
      <c r="Y613" s="5"/>
      <c r="AA613" s="63">
        <f t="shared" si="104"/>
        <v>0</v>
      </c>
      <c r="AB613" s="5">
        <f t="shared" si="105"/>
        <v>0</v>
      </c>
      <c r="AP613" s="3">
        <v>600</v>
      </c>
      <c r="AR613" s="14">
        <f t="shared" si="99"/>
        <v>0</v>
      </c>
      <c r="AS613" s="17" t="e">
        <f>IF(OR(AS612=0,AS612&gt;=#REF!),0,FV($O$1,AP613,-#REF!,0,1))</f>
        <v>#REF!</v>
      </c>
      <c r="AU613" s="5">
        <f t="shared" si="98"/>
        <v>0</v>
      </c>
    </row>
    <row r="614" spans="12:47" hidden="1" x14ac:dyDescent="0.25">
      <c r="L614" s="2" t="str">
        <f t="shared" si="107"/>
        <v/>
      </c>
      <c r="M614" s="45">
        <f t="shared" si="106"/>
        <v>49</v>
      </c>
      <c r="N614" s="36">
        <v>594</v>
      </c>
      <c r="O614" s="91">
        <f t="shared" si="100"/>
        <v>0</v>
      </c>
      <c r="P614" s="38">
        <f t="shared" si="101"/>
        <v>0</v>
      </c>
      <c r="W614" s="26">
        <f t="shared" si="102"/>
        <v>0</v>
      </c>
      <c r="X614" s="5">
        <f t="shared" si="103"/>
        <v>0</v>
      </c>
      <c r="Y614" s="5"/>
      <c r="AA614" s="63">
        <f t="shared" si="104"/>
        <v>0</v>
      </c>
      <c r="AB614" s="5">
        <f t="shared" si="105"/>
        <v>0</v>
      </c>
    </row>
    <row r="615" spans="12:47" hidden="1" x14ac:dyDescent="0.25">
      <c r="L615" s="2" t="str">
        <f t="shared" si="107"/>
        <v/>
      </c>
      <c r="M615" s="45">
        <f t="shared" si="106"/>
        <v>49</v>
      </c>
      <c r="N615" s="36">
        <v>595</v>
      </c>
      <c r="O615" s="91">
        <f t="shared" si="100"/>
        <v>0</v>
      </c>
      <c r="P615" s="38">
        <f t="shared" si="101"/>
        <v>0</v>
      </c>
      <c r="W615" s="26">
        <f t="shared" si="102"/>
        <v>0</v>
      </c>
      <c r="X615" s="5">
        <f t="shared" si="103"/>
        <v>0</v>
      </c>
      <c r="Y615" s="5"/>
      <c r="AA615" s="63">
        <f t="shared" si="104"/>
        <v>0</v>
      </c>
      <c r="AB615" s="5">
        <f t="shared" si="105"/>
        <v>0</v>
      </c>
    </row>
    <row r="616" spans="12:47" hidden="1" x14ac:dyDescent="0.25">
      <c r="L616" s="2" t="str">
        <f t="shared" si="107"/>
        <v/>
      </c>
      <c r="M616" s="45">
        <f t="shared" si="106"/>
        <v>49</v>
      </c>
      <c r="N616" s="36">
        <v>596</v>
      </c>
      <c r="O616" s="91">
        <f t="shared" si="100"/>
        <v>0</v>
      </c>
      <c r="P616" s="38">
        <f t="shared" si="101"/>
        <v>0</v>
      </c>
      <c r="W616" s="26">
        <f t="shared" si="102"/>
        <v>0</v>
      </c>
      <c r="X616" s="5">
        <f t="shared" si="103"/>
        <v>0</v>
      </c>
      <c r="Y616" s="5"/>
      <c r="AA616" s="63">
        <f t="shared" si="104"/>
        <v>0</v>
      </c>
      <c r="AB616" s="5">
        <f t="shared" si="105"/>
        <v>0</v>
      </c>
    </row>
    <row r="617" spans="12:47" hidden="1" x14ac:dyDescent="0.25">
      <c r="L617" s="2" t="str">
        <f t="shared" si="107"/>
        <v/>
      </c>
      <c r="M617" s="45">
        <f t="shared" si="106"/>
        <v>49</v>
      </c>
      <c r="N617" s="36">
        <v>597</v>
      </c>
      <c r="O617" s="91">
        <f t="shared" si="100"/>
        <v>0</v>
      </c>
      <c r="P617" s="38">
        <f t="shared" si="101"/>
        <v>0</v>
      </c>
      <c r="W617" s="26">
        <f t="shared" si="102"/>
        <v>0</v>
      </c>
      <c r="X617" s="5">
        <f t="shared" si="103"/>
        <v>0</v>
      </c>
      <c r="Y617" s="5"/>
      <c r="AA617" s="63">
        <f t="shared" si="104"/>
        <v>0</v>
      </c>
      <c r="AB617" s="5">
        <f t="shared" si="105"/>
        <v>0</v>
      </c>
    </row>
    <row r="618" spans="12:47" hidden="1" x14ac:dyDescent="0.25">
      <c r="L618" s="2" t="str">
        <f t="shared" si="107"/>
        <v/>
      </c>
      <c r="M618" s="45">
        <f t="shared" si="106"/>
        <v>49</v>
      </c>
      <c r="N618" s="36">
        <v>598</v>
      </c>
      <c r="O618" s="91">
        <f t="shared" si="100"/>
        <v>0</v>
      </c>
      <c r="P618" s="38">
        <f t="shared" si="101"/>
        <v>0</v>
      </c>
      <c r="W618" s="26">
        <f t="shared" si="102"/>
        <v>0</v>
      </c>
      <c r="X618" s="5">
        <f t="shared" si="103"/>
        <v>0</v>
      </c>
      <c r="Y618" s="5"/>
      <c r="AA618" s="63">
        <f t="shared" si="104"/>
        <v>0</v>
      </c>
      <c r="AB618" s="5">
        <f t="shared" si="105"/>
        <v>0</v>
      </c>
    </row>
    <row r="619" spans="12:47" hidden="1" x14ac:dyDescent="0.25">
      <c r="L619" s="2" t="str">
        <f t="shared" si="107"/>
        <v/>
      </c>
      <c r="M619" s="45">
        <f t="shared" si="106"/>
        <v>49</v>
      </c>
      <c r="N619" s="36">
        <v>599</v>
      </c>
      <c r="O619" s="91">
        <f t="shared" si="100"/>
        <v>0</v>
      </c>
      <c r="P619" s="38">
        <f t="shared" si="101"/>
        <v>0</v>
      </c>
      <c r="W619" s="26">
        <f t="shared" si="102"/>
        <v>0</v>
      </c>
      <c r="X619" s="5">
        <f t="shared" si="103"/>
        <v>0</v>
      </c>
      <c r="Y619" s="5"/>
      <c r="AA619" s="63">
        <f t="shared" si="104"/>
        <v>0</v>
      </c>
      <c r="AB619" s="5">
        <f t="shared" si="105"/>
        <v>0</v>
      </c>
    </row>
    <row r="620" spans="12:47" hidden="1" x14ac:dyDescent="0.25">
      <c r="L620" s="2" t="str">
        <f t="shared" si="107"/>
        <v/>
      </c>
      <c r="M620" s="45">
        <f t="shared" si="106"/>
        <v>49</v>
      </c>
      <c r="N620" s="36">
        <v>600</v>
      </c>
      <c r="O620" s="91">
        <f t="shared" si="100"/>
        <v>0</v>
      </c>
      <c r="P620" s="38">
        <f t="shared" si="101"/>
        <v>0</v>
      </c>
      <c r="W620" s="26">
        <f t="shared" si="102"/>
        <v>0</v>
      </c>
      <c r="X620" s="5">
        <f t="shared" si="103"/>
        <v>0</v>
      </c>
      <c r="Y620" s="5"/>
      <c r="AA620" s="63">
        <f t="shared" si="104"/>
        <v>0</v>
      </c>
      <c r="AB620" s="5">
        <f t="shared" si="105"/>
        <v>0</v>
      </c>
    </row>
    <row r="621" spans="12:47" hidden="1" x14ac:dyDescent="0.25">
      <c r="L621" s="2" t="str">
        <f t="shared" si="107"/>
        <v/>
      </c>
      <c r="M621" s="45">
        <f t="shared" si="106"/>
        <v>50</v>
      </c>
      <c r="N621" s="36">
        <v>601</v>
      </c>
      <c r="O621" s="91">
        <f t="shared" si="100"/>
        <v>0</v>
      </c>
      <c r="P621" s="38">
        <f t="shared" si="101"/>
        <v>0</v>
      </c>
      <c r="W621" s="26">
        <f t="shared" si="102"/>
        <v>0</v>
      </c>
      <c r="AA621" s="63">
        <f t="shared" si="104"/>
        <v>0</v>
      </c>
    </row>
    <row r="622" spans="12:47" hidden="1" x14ac:dyDescent="0.25">
      <c r="L622" s="2" t="str">
        <f t="shared" si="107"/>
        <v/>
      </c>
      <c r="M622" s="45">
        <f t="shared" si="106"/>
        <v>50</v>
      </c>
      <c r="N622" s="36">
        <v>602</v>
      </c>
      <c r="O622" s="91">
        <f t="shared" si="100"/>
        <v>0</v>
      </c>
      <c r="P622" s="38">
        <f t="shared" si="101"/>
        <v>0</v>
      </c>
      <c r="W622" s="26">
        <f t="shared" si="102"/>
        <v>0</v>
      </c>
      <c r="AA622" s="63">
        <f t="shared" si="104"/>
        <v>0</v>
      </c>
    </row>
    <row r="623" spans="12:47" hidden="1" x14ac:dyDescent="0.25">
      <c r="L623" s="2" t="str">
        <f t="shared" si="107"/>
        <v/>
      </c>
      <c r="M623" s="45">
        <f t="shared" si="106"/>
        <v>50</v>
      </c>
      <c r="N623" s="36">
        <v>603</v>
      </c>
      <c r="O623" s="91">
        <f t="shared" si="100"/>
        <v>0</v>
      </c>
      <c r="P623" s="38">
        <f t="shared" si="101"/>
        <v>0</v>
      </c>
      <c r="W623" s="26">
        <f t="shared" si="102"/>
        <v>0</v>
      </c>
      <c r="AA623" s="63">
        <f t="shared" si="104"/>
        <v>0</v>
      </c>
    </row>
    <row r="624" spans="12:47" hidden="1" x14ac:dyDescent="0.25">
      <c r="L624" s="2" t="str">
        <f t="shared" si="107"/>
        <v/>
      </c>
      <c r="M624" s="45">
        <f t="shared" si="106"/>
        <v>50</v>
      </c>
      <c r="N624" s="36">
        <v>604</v>
      </c>
      <c r="O624" s="91">
        <f t="shared" si="100"/>
        <v>0</v>
      </c>
      <c r="P624" s="38">
        <f t="shared" si="101"/>
        <v>0</v>
      </c>
      <c r="W624" s="26">
        <f t="shared" si="102"/>
        <v>0</v>
      </c>
      <c r="AA624" s="63">
        <f t="shared" si="104"/>
        <v>0</v>
      </c>
    </row>
    <row r="625" spans="12:27" hidden="1" x14ac:dyDescent="0.25">
      <c r="L625" s="2" t="str">
        <f t="shared" si="107"/>
        <v/>
      </c>
      <c r="M625" s="45">
        <f t="shared" si="106"/>
        <v>50</v>
      </c>
      <c r="N625" s="36">
        <v>605</v>
      </c>
      <c r="O625" s="91">
        <f t="shared" si="100"/>
        <v>0</v>
      </c>
      <c r="P625" s="38">
        <f t="shared" si="101"/>
        <v>0</v>
      </c>
      <c r="W625" s="26">
        <f t="shared" si="102"/>
        <v>0</v>
      </c>
      <c r="AA625" s="63">
        <f t="shared" si="104"/>
        <v>0</v>
      </c>
    </row>
    <row r="626" spans="12:27" hidden="1" x14ac:dyDescent="0.25">
      <c r="L626" s="2" t="str">
        <f t="shared" si="107"/>
        <v/>
      </c>
      <c r="M626" s="45">
        <f t="shared" si="106"/>
        <v>50</v>
      </c>
      <c r="N626" s="36">
        <v>606</v>
      </c>
      <c r="O626" s="91">
        <f t="shared" si="100"/>
        <v>0</v>
      </c>
      <c r="P626" s="38">
        <f t="shared" si="101"/>
        <v>0</v>
      </c>
      <c r="W626" s="26">
        <f t="shared" si="102"/>
        <v>0</v>
      </c>
      <c r="AA626" s="63">
        <f t="shared" si="104"/>
        <v>0</v>
      </c>
    </row>
    <row r="627" spans="12:27" hidden="1" x14ac:dyDescent="0.25">
      <c r="L627" s="2" t="str">
        <f t="shared" si="107"/>
        <v/>
      </c>
      <c r="M627" s="45">
        <f t="shared" si="106"/>
        <v>50</v>
      </c>
      <c r="N627" s="36">
        <v>607</v>
      </c>
      <c r="O627" s="91">
        <f t="shared" si="100"/>
        <v>0</v>
      </c>
      <c r="P627" s="38">
        <f t="shared" si="101"/>
        <v>0</v>
      </c>
      <c r="W627" s="26">
        <f t="shared" si="102"/>
        <v>0</v>
      </c>
      <c r="AA627" s="63">
        <f t="shared" si="104"/>
        <v>0</v>
      </c>
    </row>
    <row r="628" spans="12:27" hidden="1" x14ac:dyDescent="0.25">
      <c r="L628" s="2" t="str">
        <f t="shared" si="107"/>
        <v/>
      </c>
      <c r="M628" s="45">
        <f t="shared" si="106"/>
        <v>50</v>
      </c>
      <c r="N628" s="36">
        <v>608</v>
      </c>
      <c r="O628" s="91">
        <f t="shared" si="100"/>
        <v>0</v>
      </c>
      <c r="P628" s="38">
        <f t="shared" si="101"/>
        <v>0</v>
      </c>
      <c r="W628" s="26">
        <f t="shared" si="102"/>
        <v>0</v>
      </c>
      <c r="AA628" s="63">
        <f t="shared" si="104"/>
        <v>0</v>
      </c>
    </row>
    <row r="629" spans="12:27" hidden="1" x14ac:dyDescent="0.25">
      <c r="L629" s="2" t="str">
        <f t="shared" si="107"/>
        <v/>
      </c>
      <c r="M629" s="45">
        <f t="shared" si="106"/>
        <v>50</v>
      </c>
      <c r="N629" s="36">
        <v>609</v>
      </c>
      <c r="O629" s="91">
        <f t="shared" si="100"/>
        <v>0</v>
      </c>
      <c r="P629" s="38">
        <f t="shared" si="101"/>
        <v>0</v>
      </c>
      <c r="W629" s="26">
        <f t="shared" si="102"/>
        <v>0</v>
      </c>
      <c r="AA629" s="63">
        <f t="shared" si="104"/>
        <v>0</v>
      </c>
    </row>
    <row r="630" spans="12:27" hidden="1" x14ac:dyDescent="0.25">
      <c r="L630" s="2" t="str">
        <f t="shared" si="107"/>
        <v/>
      </c>
      <c r="M630" s="45">
        <f t="shared" si="106"/>
        <v>50</v>
      </c>
      <c r="N630" s="36">
        <v>610</v>
      </c>
      <c r="O630" s="91">
        <f t="shared" si="100"/>
        <v>0</v>
      </c>
      <c r="P630" s="38">
        <f t="shared" si="101"/>
        <v>0</v>
      </c>
      <c r="W630" s="26">
        <f t="shared" si="102"/>
        <v>0</v>
      </c>
      <c r="AA630" s="63">
        <f t="shared" si="104"/>
        <v>0</v>
      </c>
    </row>
    <row r="631" spans="12:27" hidden="1" x14ac:dyDescent="0.25">
      <c r="L631" s="2" t="str">
        <f t="shared" si="107"/>
        <v/>
      </c>
      <c r="M631" s="45">
        <f t="shared" si="106"/>
        <v>50</v>
      </c>
      <c r="N631" s="36">
        <v>611</v>
      </c>
      <c r="O631" s="91">
        <f t="shared" si="100"/>
        <v>0</v>
      </c>
      <c r="P631" s="38">
        <f t="shared" si="101"/>
        <v>0</v>
      </c>
      <c r="W631" s="26">
        <f t="shared" si="102"/>
        <v>0</v>
      </c>
      <c r="AA631" s="63">
        <f t="shared" si="104"/>
        <v>0</v>
      </c>
    </row>
    <row r="632" spans="12:27" hidden="1" x14ac:dyDescent="0.25">
      <c r="L632" s="2" t="str">
        <f t="shared" si="107"/>
        <v/>
      </c>
      <c r="M632" s="45">
        <f t="shared" si="106"/>
        <v>50</v>
      </c>
      <c r="N632" s="36">
        <v>612</v>
      </c>
      <c r="O632" s="91">
        <f t="shared" si="100"/>
        <v>0</v>
      </c>
      <c r="P632" s="38">
        <f t="shared" si="101"/>
        <v>0</v>
      </c>
      <c r="W632" s="26">
        <f t="shared" si="102"/>
        <v>0</v>
      </c>
      <c r="AA632" s="63">
        <f t="shared" si="104"/>
        <v>0</v>
      </c>
    </row>
    <row r="633" spans="12:27" hidden="1" x14ac:dyDescent="0.25">
      <c r="L633" s="2" t="str">
        <f t="shared" si="107"/>
        <v/>
      </c>
      <c r="M633" s="45">
        <f t="shared" si="106"/>
        <v>51</v>
      </c>
      <c r="N633" s="36">
        <v>613</v>
      </c>
      <c r="O633" s="91">
        <f t="shared" si="100"/>
        <v>0</v>
      </c>
      <c r="P633" s="38">
        <f t="shared" si="101"/>
        <v>0</v>
      </c>
      <c r="W633" s="26">
        <f t="shared" si="102"/>
        <v>0</v>
      </c>
      <c r="AA633" s="63">
        <f t="shared" si="104"/>
        <v>0</v>
      </c>
    </row>
    <row r="634" spans="12:27" hidden="1" x14ac:dyDescent="0.25">
      <c r="L634" s="2" t="str">
        <f t="shared" si="107"/>
        <v/>
      </c>
      <c r="M634" s="45">
        <f t="shared" si="106"/>
        <v>51</v>
      </c>
      <c r="N634" s="36">
        <v>614</v>
      </c>
      <c r="O634" s="91">
        <f t="shared" si="100"/>
        <v>0</v>
      </c>
      <c r="P634" s="38">
        <f t="shared" si="101"/>
        <v>0</v>
      </c>
      <c r="W634" s="26">
        <f t="shared" si="102"/>
        <v>0</v>
      </c>
      <c r="AA634" s="63">
        <f t="shared" si="104"/>
        <v>0</v>
      </c>
    </row>
    <row r="635" spans="12:27" hidden="1" x14ac:dyDescent="0.25">
      <c r="L635" s="2" t="str">
        <f t="shared" si="107"/>
        <v/>
      </c>
      <c r="M635" s="45">
        <f t="shared" si="106"/>
        <v>51</v>
      </c>
      <c r="N635" s="36">
        <v>615</v>
      </c>
      <c r="O635" s="91">
        <f t="shared" si="100"/>
        <v>0</v>
      </c>
      <c r="P635" s="38">
        <f t="shared" si="101"/>
        <v>0</v>
      </c>
      <c r="W635" s="26">
        <f t="shared" si="102"/>
        <v>0</v>
      </c>
      <c r="AA635" s="63">
        <f t="shared" si="104"/>
        <v>0</v>
      </c>
    </row>
    <row r="636" spans="12:27" hidden="1" x14ac:dyDescent="0.25">
      <c r="L636" s="2" t="str">
        <f t="shared" si="107"/>
        <v/>
      </c>
      <c r="M636" s="45">
        <f t="shared" si="106"/>
        <v>51</v>
      </c>
      <c r="N636" s="36">
        <v>616</v>
      </c>
      <c r="O636" s="91">
        <f t="shared" si="100"/>
        <v>0</v>
      </c>
      <c r="P636" s="38">
        <f t="shared" si="101"/>
        <v>0</v>
      </c>
      <c r="W636" s="26">
        <f t="shared" si="102"/>
        <v>0</v>
      </c>
      <c r="AA636" s="63">
        <f t="shared" si="104"/>
        <v>0</v>
      </c>
    </row>
    <row r="637" spans="12:27" hidden="1" x14ac:dyDescent="0.25">
      <c r="L637" s="2" t="str">
        <f t="shared" si="107"/>
        <v/>
      </c>
      <c r="M637" s="45">
        <f t="shared" si="106"/>
        <v>51</v>
      </c>
      <c r="N637" s="36">
        <v>617</v>
      </c>
      <c r="O637" s="91">
        <f t="shared" si="100"/>
        <v>0</v>
      </c>
      <c r="P637" s="38">
        <f t="shared" si="101"/>
        <v>0</v>
      </c>
      <c r="W637" s="26">
        <f t="shared" si="102"/>
        <v>0</v>
      </c>
      <c r="AA637" s="63">
        <f t="shared" si="104"/>
        <v>0</v>
      </c>
    </row>
    <row r="638" spans="12:27" hidden="1" x14ac:dyDescent="0.25">
      <c r="L638" s="2" t="str">
        <f t="shared" si="107"/>
        <v/>
      </c>
      <c r="M638" s="45">
        <f t="shared" si="106"/>
        <v>51</v>
      </c>
      <c r="N638" s="36">
        <v>618</v>
      </c>
      <c r="O638" s="91">
        <f t="shared" si="100"/>
        <v>0</v>
      </c>
      <c r="P638" s="38">
        <f t="shared" si="101"/>
        <v>0</v>
      </c>
      <c r="W638" s="26">
        <f t="shared" si="102"/>
        <v>0</v>
      </c>
      <c r="AA638" s="63">
        <f t="shared" si="104"/>
        <v>0</v>
      </c>
    </row>
    <row r="639" spans="12:27" hidden="1" x14ac:dyDescent="0.25">
      <c r="L639" s="2" t="str">
        <f t="shared" si="107"/>
        <v/>
      </c>
      <c r="M639" s="45">
        <f t="shared" si="106"/>
        <v>51</v>
      </c>
      <c r="N639" s="36">
        <v>619</v>
      </c>
      <c r="O639" s="91">
        <f t="shared" si="100"/>
        <v>0</v>
      </c>
      <c r="P639" s="38">
        <f t="shared" si="101"/>
        <v>0</v>
      </c>
      <c r="W639" s="26">
        <f t="shared" si="102"/>
        <v>0</v>
      </c>
      <c r="AA639" s="63">
        <f t="shared" si="104"/>
        <v>0</v>
      </c>
    </row>
    <row r="640" spans="12:27" hidden="1" x14ac:dyDescent="0.25">
      <c r="L640" s="2" t="str">
        <f t="shared" si="107"/>
        <v/>
      </c>
      <c r="M640" s="45">
        <f t="shared" si="106"/>
        <v>51</v>
      </c>
      <c r="N640" s="36">
        <v>620</v>
      </c>
      <c r="O640" s="91">
        <f t="shared" si="100"/>
        <v>0</v>
      </c>
      <c r="P640" s="38">
        <f t="shared" si="101"/>
        <v>0</v>
      </c>
      <c r="W640" s="26">
        <f t="shared" si="102"/>
        <v>0</v>
      </c>
      <c r="AA640" s="63">
        <f t="shared" si="104"/>
        <v>0</v>
      </c>
    </row>
    <row r="641" spans="12:27" hidden="1" x14ac:dyDescent="0.25">
      <c r="L641" s="2" t="str">
        <f t="shared" si="107"/>
        <v/>
      </c>
      <c r="M641" s="45">
        <f t="shared" si="106"/>
        <v>51</v>
      </c>
      <c r="N641" s="36">
        <v>621</v>
      </c>
      <c r="O641" s="91">
        <f t="shared" si="100"/>
        <v>0</v>
      </c>
      <c r="P641" s="38">
        <f t="shared" si="101"/>
        <v>0</v>
      </c>
      <c r="W641" s="26">
        <f t="shared" si="102"/>
        <v>0</v>
      </c>
      <c r="AA641" s="63">
        <f t="shared" si="104"/>
        <v>0</v>
      </c>
    </row>
    <row r="642" spans="12:27" hidden="1" x14ac:dyDescent="0.25">
      <c r="L642" s="2" t="str">
        <f t="shared" si="107"/>
        <v/>
      </c>
      <c r="M642" s="45">
        <f t="shared" si="106"/>
        <v>51</v>
      </c>
      <c r="N642" s="36">
        <v>622</v>
      </c>
      <c r="O642" s="91">
        <f t="shared" si="100"/>
        <v>0</v>
      </c>
      <c r="P642" s="38">
        <f t="shared" si="101"/>
        <v>0</v>
      </c>
      <c r="W642" s="26">
        <f t="shared" si="102"/>
        <v>0</v>
      </c>
      <c r="AA642" s="63">
        <f t="shared" si="104"/>
        <v>0</v>
      </c>
    </row>
    <row r="643" spans="12:27" hidden="1" x14ac:dyDescent="0.25">
      <c r="L643" s="2" t="str">
        <f t="shared" si="107"/>
        <v/>
      </c>
      <c r="M643" s="45">
        <f t="shared" si="106"/>
        <v>51</v>
      </c>
      <c r="N643" s="36">
        <v>623</v>
      </c>
      <c r="O643" s="91">
        <f t="shared" si="100"/>
        <v>0</v>
      </c>
      <c r="P643" s="38">
        <f t="shared" si="101"/>
        <v>0</v>
      </c>
      <c r="W643" s="26">
        <f t="shared" si="102"/>
        <v>0</v>
      </c>
      <c r="AA643" s="63">
        <f t="shared" si="104"/>
        <v>0</v>
      </c>
    </row>
    <row r="644" spans="12:27" hidden="1" x14ac:dyDescent="0.25">
      <c r="L644" s="2" t="str">
        <f t="shared" si="107"/>
        <v/>
      </c>
      <c r="M644" s="45">
        <f t="shared" si="106"/>
        <v>51</v>
      </c>
      <c r="N644" s="36">
        <v>624</v>
      </c>
      <c r="O644" s="91">
        <f t="shared" si="100"/>
        <v>0</v>
      </c>
      <c r="P644" s="38">
        <f t="shared" si="101"/>
        <v>0</v>
      </c>
      <c r="W644" s="26">
        <f t="shared" si="102"/>
        <v>0</v>
      </c>
      <c r="AA644" s="63">
        <f t="shared" si="104"/>
        <v>0</v>
      </c>
    </row>
    <row r="645" spans="12:27" hidden="1" x14ac:dyDescent="0.25">
      <c r="L645" s="2" t="str">
        <f t="shared" si="107"/>
        <v/>
      </c>
      <c r="M645" s="45">
        <f t="shared" si="106"/>
        <v>52</v>
      </c>
      <c r="N645" s="36">
        <v>625</v>
      </c>
      <c r="O645" s="91">
        <f t="shared" si="100"/>
        <v>0</v>
      </c>
      <c r="P645" s="38">
        <f t="shared" si="101"/>
        <v>0</v>
      </c>
      <c r="W645" s="26">
        <f t="shared" si="102"/>
        <v>0</v>
      </c>
      <c r="AA645" s="63">
        <f t="shared" si="104"/>
        <v>0</v>
      </c>
    </row>
    <row r="646" spans="12:27" hidden="1" x14ac:dyDescent="0.25">
      <c r="L646" s="2" t="str">
        <f t="shared" si="107"/>
        <v/>
      </c>
      <c r="M646" s="45">
        <f t="shared" si="106"/>
        <v>52</v>
      </c>
      <c r="N646" s="36">
        <v>626</v>
      </c>
      <c r="O646" s="91">
        <f t="shared" si="100"/>
        <v>0</v>
      </c>
      <c r="P646" s="38">
        <f t="shared" si="101"/>
        <v>0</v>
      </c>
      <c r="W646" s="26">
        <f t="shared" si="102"/>
        <v>0</v>
      </c>
      <c r="AA646" s="63">
        <f t="shared" si="104"/>
        <v>0</v>
      </c>
    </row>
    <row r="647" spans="12:27" hidden="1" x14ac:dyDescent="0.25">
      <c r="L647" s="2" t="str">
        <f t="shared" si="107"/>
        <v/>
      </c>
      <c r="M647" s="45">
        <f t="shared" si="106"/>
        <v>52</v>
      </c>
      <c r="N647" s="36">
        <v>627</v>
      </c>
      <c r="O647" s="91">
        <f t="shared" si="100"/>
        <v>0</v>
      </c>
      <c r="P647" s="38">
        <f t="shared" si="101"/>
        <v>0</v>
      </c>
      <c r="W647" s="26">
        <f t="shared" si="102"/>
        <v>0</v>
      </c>
      <c r="AA647" s="63">
        <f t="shared" si="104"/>
        <v>0</v>
      </c>
    </row>
    <row r="648" spans="12:27" hidden="1" x14ac:dyDescent="0.25">
      <c r="L648" s="2" t="str">
        <f t="shared" si="107"/>
        <v/>
      </c>
      <c r="M648" s="45">
        <f t="shared" si="106"/>
        <v>52</v>
      </c>
      <c r="N648" s="36">
        <v>628</v>
      </c>
      <c r="O648" s="91">
        <f t="shared" si="100"/>
        <v>0</v>
      </c>
      <c r="P648" s="38">
        <f t="shared" si="101"/>
        <v>0</v>
      </c>
      <c r="W648" s="26">
        <f t="shared" si="102"/>
        <v>0</v>
      </c>
      <c r="AA648" s="63">
        <f t="shared" si="104"/>
        <v>0</v>
      </c>
    </row>
    <row r="649" spans="12:27" hidden="1" x14ac:dyDescent="0.25">
      <c r="L649" s="2" t="str">
        <f t="shared" si="107"/>
        <v/>
      </c>
      <c r="M649" s="45">
        <f t="shared" si="106"/>
        <v>52</v>
      </c>
      <c r="N649" s="36">
        <v>629</v>
      </c>
      <c r="O649" s="91">
        <f t="shared" si="100"/>
        <v>0</v>
      </c>
      <c r="P649" s="38">
        <f t="shared" si="101"/>
        <v>0</v>
      </c>
      <c r="W649" s="26">
        <f t="shared" si="102"/>
        <v>0</v>
      </c>
      <c r="AA649" s="63">
        <f t="shared" si="104"/>
        <v>0</v>
      </c>
    </row>
    <row r="650" spans="12:27" hidden="1" x14ac:dyDescent="0.25">
      <c r="L650" s="2" t="str">
        <f t="shared" si="107"/>
        <v/>
      </c>
      <c r="M650" s="45">
        <f t="shared" si="106"/>
        <v>52</v>
      </c>
      <c r="N650" s="36">
        <v>630</v>
      </c>
      <c r="O650" s="91">
        <f t="shared" si="100"/>
        <v>0</v>
      </c>
      <c r="P650" s="38">
        <f t="shared" si="101"/>
        <v>0</v>
      </c>
      <c r="W650" s="26">
        <f t="shared" si="102"/>
        <v>0</v>
      </c>
      <c r="AA650" s="63">
        <f t="shared" si="104"/>
        <v>0</v>
      </c>
    </row>
    <row r="651" spans="12:27" hidden="1" x14ac:dyDescent="0.25">
      <c r="L651" s="2" t="str">
        <f t="shared" si="107"/>
        <v/>
      </c>
      <c r="M651" s="45">
        <f t="shared" si="106"/>
        <v>52</v>
      </c>
      <c r="N651" s="36">
        <v>631</v>
      </c>
      <c r="O651" s="91">
        <f t="shared" si="100"/>
        <v>0</v>
      </c>
      <c r="P651" s="38">
        <f t="shared" si="101"/>
        <v>0</v>
      </c>
      <c r="W651" s="26">
        <f t="shared" si="102"/>
        <v>0</v>
      </c>
      <c r="AA651" s="63">
        <f t="shared" si="104"/>
        <v>0</v>
      </c>
    </row>
    <row r="652" spans="12:27" hidden="1" x14ac:dyDescent="0.25">
      <c r="L652" s="2" t="str">
        <f t="shared" si="107"/>
        <v/>
      </c>
      <c r="M652" s="45">
        <f t="shared" si="106"/>
        <v>52</v>
      </c>
      <c r="N652" s="36">
        <v>632</v>
      </c>
      <c r="O652" s="91">
        <f t="shared" si="100"/>
        <v>0</v>
      </c>
      <c r="P652" s="38">
        <f t="shared" si="101"/>
        <v>0</v>
      </c>
      <c r="W652" s="26">
        <f t="shared" si="102"/>
        <v>0</v>
      </c>
      <c r="AA652" s="63">
        <f t="shared" si="104"/>
        <v>0</v>
      </c>
    </row>
    <row r="653" spans="12:27" hidden="1" x14ac:dyDescent="0.25">
      <c r="L653" s="2" t="str">
        <f t="shared" si="107"/>
        <v/>
      </c>
      <c r="M653" s="45">
        <f t="shared" si="106"/>
        <v>52</v>
      </c>
      <c r="N653" s="36">
        <v>633</v>
      </c>
      <c r="O653" s="91">
        <f t="shared" si="100"/>
        <v>0</v>
      </c>
      <c r="P653" s="38">
        <f t="shared" si="101"/>
        <v>0</v>
      </c>
      <c r="W653" s="26">
        <f t="shared" si="102"/>
        <v>0</v>
      </c>
      <c r="AA653" s="63">
        <f t="shared" si="104"/>
        <v>0</v>
      </c>
    </row>
    <row r="654" spans="12:27" hidden="1" x14ac:dyDescent="0.25">
      <c r="L654" s="2" t="str">
        <f t="shared" si="107"/>
        <v/>
      </c>
      <c r="M654" s="45">
        <f t="shared" si="106"/>
        <v>52</v>
      </c>
      <c r="N654" s="36">
        <v>634</v>
      </c>
      <c r="O654" s="91">
        <f t="shared" si="100"/>
        <v>0</v>
      </c>
      <c r="P654" s="38">
        <f t="shared" si="101"/>
        <v>0</v>
      </c>
      <c r="W654" s="26">
        <f t="shared" si="102"/>
        <v>0</v>
      </c>
      <c r="AA654" s="63">
        <f t="shared" si="104"/>
        <v>0</v>
      </c>
    </row>
    <row r="655" spans="12:27" hidden="1" x14ac:dyDescent="0.25">
      <c r="L655" s="2" t="str">
        <f t="shared" si="107"/>
        <v/>
      </c>
      <c r="M655" s="45">
        <f t="shared" si="106"/>
        <v>52</v>
      </c>
      <c r="N655" s="36">
        <v>635</v>
      </c>
      <c r="O655" s="91">
        <f t="shared" si="100"/>
        <v>0</v>
      </c>
      <c r="P655" s="38">
        <f t="shared" si="101"/>
        <v>0</v>
      </c>
      <c r="W655" s="26">
        <f t="shared" si="102"/>
        <v>0</v>
      </c>
      <c r="AA655" s="63">
        <f t="shared" si="104"/>
        <v>0</v>
      </c>
    </row>
    <row r="656" spans="12:27" hidden="1" x14ac:dyDescent="0.25">
      <c r="L656" s="2" t="str">
        <f t="shared" si="107"/>
        <v/>
      </c>
      <c r="M656" s="45">
        <f t="shared" si="106"/>
        <v>52</v>
      </c>
      <c r="N656" s="36">
        <v>636</v>
      </c>
      <c r="O656" s="91">
        <f t="shared" si="100"/>
        <v>0</v>
      </c>
      <c r="P656" s="38">
        <f t="shared" si="101"/>
        <v>0</v>
      </c>
      <c r="W656" s="26">
        <f t="shared" si="102"/>
        <v>0</v>
      </c>
      <c r="AA656" s="63">
        <f t="shared" si="104"/>
        <v>0</v>
      </c>
    </row>
    <row r="657" spans="12:27" hidden="1" x14ac:dyDescent="0.25">
      <c r="L657" s="2" t="str">
        <f t="shared" si="107"/>
        <v/>
      </c>
      <c r="M657" s="45">
        <f t="shared" si="106"/>
        <v>53</v>
      </c>
      <c r="N657" s="36">
        <v>637</v>
      </c>
      <c r="O657" s="91">
        <f t="shared" si="100"/>
        <v>0</v>
      </c>
      <c r="P657" s="38">
        <f t="shared" si="101"/>
        <v>0</v>
      </c>
      <c r="W657" s="26">
        <f t="shared" si="102"/>
        <v>0</v>
      </c>
      <c r="AA657" s="63">
        <f t="shared" si="104"/>
        <v>0</v>
      </c>
    </row>
    <row r="658" spans="12:27" hidden="1" x14ac:dyDescent="0.25">
      <c r="L658" s="2" t="str">
        <f t="shared" si="107"/>
        <v/>
      </c>
      <c r="M658" s="45">
        <f t="shared" si="106"/>
        <v>53</v>
      </c>
      <c r="N658" s="36">
        <v>638</v>
      </c>
      <c r="O658" s="91">
        <f t="shared" si="100"/>
        <v>0</v>
      </c>
      <c r="P658" s="38">
        <f t="shared" si="101"/>
        <v>0</v>
      </c>
      <c r="W658" s="26">
        <f t="shared" si="102"/>
        <v>0</v>
      </c>
      <c r="AA658" s="63">
        <f t="shared" si="104"/>
        <v>0</v>
      </c>
    </row>
    <row r="659" spans="12:27" hidden="1" x14ac:dyDescent="0.25">
      <c r="L659" s="2" t="str">
        <f t="shared" si="107"/>
        <v/>
      </c>
      <c r="M659" s="45">
        <f t="shared" si="106"/>
        <v>53</v>
      </c>
      <c r="N659" s="36">
        <v>639</v>
      </c>
      <c r="O659" s="91">
        <f t="shared" si="100"/>
        <v>0</v>
      </c>
      <c r="P659" s="38">
        <f t="shared" si="101"/>
        <v>0</v>
      </c>
      <c r="W659" s="26">
        <f t="shared" si="102"/>
        <v>0</v>
      </c>
      <c r="AA659" s="63">
        <f t="shared" si="104"/>
        <v>0</v>
      </c>
    </row>
    <row r="660" spans="12:27" hidden="1" x14ac:dyDescent="0.25">
      <c r="L660" s="2" t="str">
        <f t="shared" si="107"/>
        <v/>
      </c>
      <c r="M660" s="45">
        <f t="shared" si="106"/>
        <v>53</v>
      </c>
      <c r="N660" s="36">
        <v>640</v>
      </c>
      <c r="O660" s="91">
        <f t="shared" si="100"/>
        <v>0</v>
      </c>
      <c r="P660" s="38">
        <f t="shared" si="101"/>
        <v>0</v>
      </c>
      <c r="W660" s="26">
        <f t="shared" si="102"/>
        <v>0</v>
      </c>
      <c r="AA660" s="63">
        <f t="shared" si="104"/>
        <v>0</v>
      </c>
    </row>
    <row r="661" spans="12:27" hidden="1" x14ac:dyDescent="0.25">
      <c r="L661" s="2" t="str">
        <f t="shared" si="107"/>
        <v/>
      </c>
      <c r="M661" s="45">
        <f t="shared" si="106"/>
        <v>53</v>
      </c>
      <c r="N661" s="36">
        <v>641</v>
      </c>
      <c r="O661" s="91">
        <f t="shared" ref="O661:O724" si="108">IF(N661&lt;=InvMonths,SU_Amt*(1+GRate)^M661,0)</f>
        <v>0</v>
      </c>
      <c r="P661" s="38">
        <f t="shared" ref="P661:P724" si="109">FV(SIPRate,InvMonths-N661+1,0,-O661,1)</f>
        <v>0</v>
      </c>
      <c r="W661" s="26">
        <f t="shared" ref="W661:W724" si="110">IF(N661&lt;=InvMonths,$X$18,0)</f>
        <v>0</v>
      </c>
      <c r="AA661" s="63">
        <f t="shared" ref="AA661:AA724" si="111">IF(N661&lt;=InvMonths,$AB$18*(1+$C$32)^M661,0)</f>
        <v>0</v>
      </c>
    </row>
    <row r="662" spans="12:27" hidden="1" x14ac:dyDescent="0.25">
      <c r="L662" s="2" t="str">
        <f t="shared" si="107"/>
        <v/>
      </c>
      <c r="M662" s="45">
        <f t="shared" ref="M662:M725" si="112">IF(MOD(N662,12)=0,(N662/12)-1,QUOTIENT(N662,12))</f>
        <v>53</v>
      </c>
      <c r="N662" s="36">
        <v>642</v>
      </c>
      <c r="O662" s="91">
        <f t="shared" si="108"/>
        <v>0</v>
      </c>
      <c r="P662" s="38">
        <f t="shared" si="109"/>
        <v>0</v>
      </c>
      <c r="W662" s="26">
        <f t="shared" si="110"/>
        <v>0</v>
      </c>
      <c r="AA662" s="63">
        <f t="shared" si="111"/>
        <v>0</v>
      </c>
    </row>
    <row r="663" spans="12:27" hidden="1" x14ac:dyDescent="0.25">
      <c r="L663" s="2" t="str">
        <f t="shared" si="107"/>
        <v/>
      </c>
      <c r="M663" s="45">
        <f t="shared" si="112"/>
        <v>53</v>
      </c>
      <c r="N663" s="36">
        <v>643</v>
      </c>
      <c r="O663" s="91">
        <f t="shared" si="108"/>
        <v>0</v>
      </c>
      <c r="P663" s="38">
        <f t="shared" si="109"/>
        <v>0</v>
      </c>
      <c r="W663" s="26">
        <f t="shared" si="110"/>
        <v>0</v>
      </c>
      <c r="AA663" s="63">
        <f t="shared" si="111"/>
        <v>0</v>
      </c>
    </row>
    <row r="664" spans="12:27" hidden="1" x14ac:dyDescent="0.25">
      <c r="L664" s="2" t="str">
        <f t="shared" si="107"/>
        <v/>
      </c>
      <c r="M664" s="45">
        <f t="shared" si="112"/>
        <v>53</v>
      </c>
      <c r="N664" s="36">
        <v>644</v>
      </c>
      <c r="O664" s="91">
        <f t="shared" si="108"/>
        <v>0</v>
      </c>
      <c r="P664" s="38">
        <f t="shared" si="109"/>
        <v>0</v>
      </c>
      <c r="W664" s="26">
        <f t="shared" si="110"/>
        <v>0</v>
      </c>
      <c r="AA664" s="63">
        <f t="shared" si="111"/>
        <v>0</v>
      </c>
    </row>
    <row r="665" spans="12:27" hidden="1" x14ac:dyDescent="0.25">
      <c r="L665" s="2" t="str">
        <f t="shared" si="107"/>
        <v/>
      </c>
      <c r="M665" s="45">
        <f t="shared" si="112"/>
        <v>53</v>
      </c>
      <c r="N665" s="36">
        <v>645</v>
      </c>
      <c r="O665" s="91">
        <f t="shared" si="108"/>
        <v>0</v>
      </c>
      <c r="P665" s="38">
        <f t="shared" si="109"/>
        <v>0</v>
      </c>
      <c r="W665" s="26">
        <f t="shared" si="110"/>
        <v>0</v>
      </c>
      <c r="AA665" s="63">
        <f t="shared" si="111"/>
        <v>0</v>
      </c>
    </row>
    <row r="666" spans="12:27" hidden="1" x14ac:dyDescent="0.25">
      <c r="L666" s="2" t="str">
        <f t="shared" si="107"/>
        <v/>
      </c>
      <c r="M666" s="45">
        <f t="shared" si="112"/>
        <v>53</v>
      </c>
      <c r="N666" s="36">
        <v>646</v>
      </c>
      <c r="O666" s="91">
        <f t="shared" si="108"/>
        <v>0</v>
      </c>
      <c r="P666" s="38">
        <f t="shared" si="109"/>
        <v>0</v>
      </c>
      <c r="W666" s="26">
        <f t="shared" si="110"/>
        <v>0</v>
      </c>
      <c r="AA666" s="63">
        <f t="shared" si="111"/>
        <v>0</v>
      </c>
    </row>
    <row r="667" spans="12:27" hidden="1" x14ac:dyDescent="0.25">
      <c r="L667" s="2" t="str">
        <f t="shared" si="107"/>
        <v/>
      </c>
      <c r="M667" s="45">
        <f t="shared" si="112"/>
        <v>53</v>
      </c>
      <c r="N667" s="36">
        <v>647</v>
      </c>
      <c r="O667" s="91">
        <f t="shared" si="108"/>
        <v>0</v>
      </c>
      <c r="P667" s="38">
        <f t="shared" si="109"/>
        <v>0</v>
      </c>
      <c r="W667" s="26">
        <f t="shared" si="110"/>
        <v>0</v>
      </c>
      <c r="AA667" s="63">
        <f t="shared" si="111"/>
        <v>0</v>
      </c>
    </row>
    <row r="668" spans="12:27" hidden="1" x14ac:dyDescent="0.25">
      <c r="L668" s="2" t="str">
        <f t="shared" si="107"/>
        <v/>
      </c>
      <c r="M668" s="45">
        <f t="shared" si="112"/>
        <v>53</v>
      </c>
      <c r="N668" s="36">
        <v>648</v>
      </c>
      <c r="O668" s="91">
        <f t="shared" si="108"/>
        <v>0</v>
      </c>
      <c r="P668" s="38">
        <f t="shared" si="109"/>
        <v>0</v>
      </c>
      <c r="W668" s="26">
        <f t="shared" si="110"/>
        <v>0</v>
      </c>
      <c r="AA668" s="63">
        <f t="shared" si="111"/>
        <v>0</v>
      </c>
    </row>
    <row r="669" spans="12:27" hidden="1" x14ac:dyDescent="0.25">
      <c r="L669" s="2" t="str">
        <f t="shared" si="107"/>
        <v/>
      </c>
      <c r="M669" s="45">
        <f t="shared" si="112"/>
        <v>54</v>
      </c>
      <c r="N669" s="36">
        <v>649</v>
      </c>
      <c r="O669" s="91">
        <f t="shared" si="108"/>
        <v>0</v>
      </c>
      <c r="P669" s="38">
        <f t="shared" si="109"/>
        <v>0</v>
      </c>
      <c r="W669" s="26">
        <f t="shared" si="110"/>
        <v>0</v>
      </c>
      <c r="AA669" s="63">
        <f t="shared" si="111"/>
        <v>0</v>
      </c>
    </row>
    <row r="670" spans="12:27" hidden="1" x14ac:dyDescent="0.25">
      <c r="L670" s="2" t="str">
        <f t="shared" ref="L670:L733" si="113">IF(MOD(M670,12)=0,M670/12,"")</f>
        <v/>
      </c>
      <c r="M670" s="45">
        <f t="shared" si="112"/>
        <v>54</v>
      </c>
      <c r="N670" s="36">
        <v>650</v>
      </c>
      <c r="O670" s="91">
        <f t="shared" si="108"/>
        <v>0</v>
      </c>
      <c r="P670" s="38">
        <f t="shared" si="109"/>
        <v>0</v>
      </c>
      <c r="W670" s="26">
        <f t="shared" si="110"/>
        <v>0</v>
      </c>
      <c r="AA670" s="63">
        <f t="shared" si="111"/>
        <v>0</v>
      </c>
    </row>
    <row r="671" spans="12:27" hidden="1" x14ac:dyDescent="0.25">
      <c r="L671" s="2" t="str">
        <f t="shared" si="113"/>
        <v/>
      </c>
      <c r="M671" s="45">
        <f t="shared" si="112"/>
        <v>54</v>
      </c>
      <c r="N671" s="36">
        <v>651</v>
      </c>
      <c r="O671" s="91">
        <f t="shared" si="108"/>
        <v>0</v>
      </c>
      <c r="P671" s="38">
        <f t="shared" si="109"/>
        <v>0</v>
      </c>
      <c r="W671" s="26">
        <f t="shared" si="110"/>
        <v>0</v>
      </c>
      <c r="AA671" s="63">
        <f t="shared" si="111"/>
        <v>0</v>
      </c>
    </row>
    <row r="672" spans="12:27" hidden="1" x14ac:dyDescent="0.25">
      <c r="L672" s="2" t="str">
        <f t="shared" si="113"/>
        <v/>
      </c>
      <c r="M672" s="45">
        <f t="shared" si="112"/>
        <v>54</v>
      </c>
      <c r="N672" s="36">
        <v>652</v>
      </c>
      <c r="O672" s="91">
        <f t="shared" si="108"/>
        <v>0</v>
      </c>
      <c r="P672" s="38">
        <f t="shared" si="109"/>
        <v>0</v>
      </c>
      <c r="W672" s="26">
        <f t="shared" si="110"/>
        <v>0</v>
      </c>
      <c r="AA672" s="63">
        <f t="shared" si="111"/>
        <v>0</v>
      </c>
    </row>
    <row r="673" spans="12:27" hidden="1" x14ac:dyDescent="0.25">
      <c r="L673" s="2" t="str">
        <f t="shared" si="113"/>
        <v/>
      </c>
      <c r="M673" s="45">
        <f t="shared" si="112"/>
        <v>54</v>
      </c>
      <c r="N673" s="36">
        <v>653</v>
      </c>
      <c r="O673" s="91">
        <f t="shared" si="108"/>
        <v>0</v>
      </c>
      <c r="P673" s="38">
        <f t="shared" si="109"/>
        <v>0</v>
      </c>
      <c r="W673" s="26">
        <f t="shared" si="110"/>
        <v>0</v>
      </c>
      <c r="AA673" s="63">
        <f t="shared" si="111"/>
        <v>0</v>
      </c>
    </row>
    <row r="674" spans="12:27" hidden="1" x14ac:dyDescent="0.25">
      <c r="L674" s="2" t="str">
        <f t="shared" si="113"/>
        <v/>
      </c>
      <c r="M674" s="45">
        <f t="shared" si="112"/>
        <v>54</v>
      </c>
      <c r="N674" s="36">
        <v>654</v>
      </c>
      <c r="O674" s="91">
        <f t="shared" si="108"/>
        <v>0</v>
      </c>
      <c r="P674" s="38">
        <f t="shared" si="109"/>
        <v>0</v>
      </c>
      <c r="W674" s="26">
        <f t="shared" si="110"/>
        <v>0</v>
      </c>
      <c r="AA674" s="63">
        <f t="shared" si="111"/>
        <v>0</v>
      </c>
    </row>
    <row r="675" spans="12:27" hidden="1" x14ac:dyDescent="0.25">
      <c r="L675" s="2" t="str">
        <f t="shared" si="113"/>
        <v/>
      </c>
      <c r="M675" s="45">
        <f t="shared" si="112"/>
        <v>54</v>
      </c>
      <c r="N675" s="36">
        <v>655</v>
      </c>
      <c r="O675" s="91">
        <f t="shared" si="108"/>
        <v>0</v>
      </c>
      <c r="P675" s="38">
        <f t="shared" si="109"/>
        <v>0</v>
      </c>
      <c r="W675" s="26">
        <f t="shared" si="110"/>
        <v>0</v>
      </c>
      <c r="AA675" s="63">
        <f t="shared" si="111"/>
        <v>0</v>
      </c>
    </row>
    <row r="676" spans="12:27" hidden="1" x14ac:dyDescent="0.25">
      <c r="L676" s="2" t="str">
        <f t="shared" si="113"/>
        <v/>
      </c>
      <c r="M676" s="45">
        <f t="shared" si="112"/>
        <v>54</v>
      </c>
      <c r="N676" s="36">
        <v>656</v>
      </c>
      <c r="O676" s="91">
        <f t="shared" si="108"/>
        <v>0</v>
      </c>
      <c r="P676" s="38">
        <f t="shared" si="109"/>
        <v>0</v>
      </c>
      <c r="W676" s="26">
        <f t="shared" si="110"/>
        <v>0</v>
      </c>
      <c r="AA676" s="63">
        <f t="shared" si="111"/>
        <v>0</v>
      </c>
    </row>
    <row r="677" spans="12:27" hidden="1" x14ac:dyDescent="0.25">
      <c r="L677" s="2" t="str">
        <f t="shared" si="113"/>
        <v/>
      </c>
      <c r="M677" s="45">
        <f t="shared" si="112"/>
        <v>54</v>
      </c>
      <c r="N677" s="36">
        <v>657</v>
      </c>
      <c r="O677" s="91">
        <f t="shared" si="108"/>
        <v>0</v>
      </c>
      <c r="P677" s="38">
        <f t="shared" si="109"/>
        <v>0</v>
      </c>
      <c r="W677" s="26">
        <f t="shared" si="110"/>
        <v>0</v>
      </c>
      <c r="AA677" s="63">
        <f t="shared" si="111"/>
        <v>0</v>
      </c>
    </row>
    <row r="678" spans="12:27" hidden="1" x14ac:dyDescent="0.25">
      <c r="L678" s="2" t="str">
        <f t="shared" si="113"/>
        <v/>
      </c>
      <c r="M678" s="45">
        <f t="shared" si="112"/>
        <v>54</v>
      </c>
      <c r="N678" s="36">
        <v>658</v>
      </c>
      <c r="O678" s="91">
        <f t="shared" si="108"/>
        <v>0</v>
      </c>
      <c r="P678" s="38">
        <f t="shared" si="109"/>
        <v>0</v>
      </c>
      <c r="W678" s="26">
        <f t="shared" si="110"/>
        <v>0</v>
      </c>
      <c r="AA678" s="63">
        <f t="shared" si="111"/>
        <v>0</v>
      </c>
    </row>
    <row r="679" spans="12:27" hidden="1" x14ac:dyDescent="0.25">
      <c r="L679" s="2" t="str">
        <f t="shared" si="113"/>
        <v/>
      </c>
      <c r="M679" s="45">
        <f t="shared" si="112"/>
        <v>54</v>
      </c>
      <c r="N679" s="36">
        <v>659</v>
      </c>
      <c r="O679" s="91">
        <f t="shared" si="108"/>
        <v>0</v>
      </c>
      <c r="P679" s="38">
        <f t="shared" si="109"/>
        <v>0</v>
      </c>
      <c r="W679" s="26">
        <f t="shared" si="110"/>
        <v>0</v>
      </c>
      <c r="AA679" s="63">
        <f t="shared" si="111"/>
        <v>0</v>
      </c>
    </row>
    <row r="680" spans="12:27" hidden="1" x14ac:dyDescent="0.25">
      <c r="L680" s="2" t="str">
        <f t="shared" si="113"/>
        <v/>
      </c>
      <c r="M680" s="45">
        <f t="shared" si="112"/>
        <v>54</v>
      </c>
      <c r="N680" s="36">
        <v>660</v>
      </c>
      <c r="O680" s="91">
        <f t="shared" si="108"/>
        <v>0</v>
      </c>
      <c r="P680" s="38">
        <f t="shared" si="109"/>
        <v>0</v>
      </c>
      <c r="W680" s="26">
        <f t="shared" si="110"/>
        <v>0</v>
      </c>
      <c r="AA680" s="63">
        <f t="shared" si="111"/>
        <v>0</v>
      </c>
    </row>
    <row r="681" spans="12:27" hidden="1" x14ac:dyDescent="0.25">
      <c r="L681" s="2" t="str">
        <f t="shared" si="113"/>
        <v/>
      </c>
      <c r="M681" s="45">
        <f t="shared" si="112"/>
        <v>55</v>
      </c>
      <c r="N681" s="36">
        <v>661</v>
      </c>
      <c r="O681" s="91">
        <f t="shared" si="108"/>
        <v>0</v>
      </c>
      <c r="P681" s="38">
        <f t="shared" si="109"/>
        <v>0</v>
      </c>
      <c r="W681" s="26">
        <f t="shared" si="110"/>
        <v>0</v>
      </c>
      <c r="AA681" s="63">
        <f t="shared" si="111"/>
        <v>0</v>
      </c>
    </row>
    <row r="682" spans="12:27" hidden="1" x14ac:dyDescent="0.25">
      <c r="L682" s="2" t="str">
        <f t="shared" si="113"/>
        <v/>
      </c>
      <c r="M682" s="45">
        <f t="shared" si="112"/>
        <v>55</v>
      </c>
      <c r="N682" s="36">
        <v>662</v>
      </c>
      <c r="O682" s="91">
        <f t="shared" si="108"/>
        <v>0</v>
      </c>
      <c r="P682" s="38">
        <f t="shared" si="109"/>
        <v>0</v>
      </c>
      <c r="W682" s="26">
        <f t="shared" si="110"/>
        <v>0</v>
      </c>
      <c r="AA682" s="63">
        <f t="shared" si="111"/>
        <v>0</v>
      </c>
    </row>
    <row r="683" spans="12:27" hidden="1" x14ac:dyDescent="0.25">
      <c r="L683" s="2" t="str">
        <f t="shared" si="113"/>
        <v/>
      </c>
      <c r="M683" s="45">
        <f t="shared" si="112"/>
        <v>55</v>
      </c>
      <c r="N683" s="36">
        <v>663</v>
      </c>
      <c r="O683" s="91">
        <f t="shared" si="108"/>
        <v>0</v>
      </c>
      <c r="P683" s="38">
        <f t="shared" si="109"/>
        <v>0</v>
      </c>
      <c r="W683" s="26">
        <f t="shared" si="110"/>
        <v>0</v>
      </c>
      <c r="AA683" s="63">
        <f t="shared" si="111"/>
        <v>0</v>
      </c>
    </row>
    <row r="684" spans="12:27" hidden="1" x14ac:dyDescent="0.25">
      <c r="L684" s="2" t="str">
        <f t="shared" si="113"/>
        <v/>
      </c>
      <c r="M684" s="45">
        <f t="shared" si="112"/>
        <v>55</v>
      </c>
      <c r="N684" s="36">
        <v>664</v>
      </c>
      <c r="O684" s="91">
        <f t="shared" si="108"/>
        <v>0</v>
      </c>
      <c r="P684" s="38">
        <f t="shared" si="109"/>
        <v>0</v>
      </c>
      <c r="W684" s="26">
        <f t="shared" si="110"/>
        <v>0</v>
      </c>
      <c r="AA684" s="63">
        <f t="shared" si="111"/>
        <v>0</v>
      </c>
    </row>
    <row r="685" spans="12:27" hidden="1" x14ac:dyDescent="0.25">
      <c r="L685" s="2" t="str">
        <f t="shared" si="113"/>
        <v/>
      </c>
      <c r="M685" s="45">
        <f t="shared" si="112"/>
        <v>55</v>
      </c>
      <c r="N685" s="36">
        <v>665</v>
      </c>
      <c r="O685" s="91">
        <f t="shared" si="108"/>
        <v>0</v>
      </c>
      <c r="P685" s="38">
        <f t="shared" si="109"/>
        <v>0</v>
      </c>
      <c r="W685" s="26">
        <f t="shared" si="110"/>
        <v>0</v>
      </c>
      <c r="AA685" s="63">
        <f t="shared" si="111"/>
        <v>0</v>
      </c>
    </row>
    <row r="686" spans="12:27" hidden="1" x14ac:dyDescent="0.25">
      <c r="L686" s="2" t="str">
        <f t="shared" si="113"/>
        <v/>
      </c>
      <c r="M686" s="45">
        <f t="shared" si="112"/>
        <v>55</v>
      </c>
      <c r="N686" s="36">
        <v>666</v>
      </c>
      <c r="O686" s="91">
        <f t="shared" si="108"/>
        <v>0</v>
      </c>
      <c r="P686" s="38">
        <f t="shared" si="109"/>
        <v>0</v>
      </c>
      <c r="W686" s="26">
        <f t="shared" si="110"/>
        <v>0</v>
      </c>
      <c r="AA686" s="63">
        <f t="shared" si="111"/>
        <v>0</v>
      </c>
    </row>
    <row r="687" spans="12:27" hidden="1" x14ac:dyDescent="0.25">
      <c r="L687" s="2" t="str">
        <f t="shared" si="113"/>
        <v/>
      </c>
      <c r="M687" s="45">
        <f t="shared" si="112"/>
        <v>55</v>
      </c>
      <c r="N687" s="36">
        <v>667</v>
      </c>
      <c r="O687" s="91">
        <f t="shared" si="108"/>
        <v>0</v>
      </c>
      <c r="P687" s="38">
        <f t="shared" si="109"/>
        <v>0</v>
      </c>
      <c r="W687" s="26">
        <f t="shared" si="110"/>
        <v>0</v>
      </c>
      <c r="AA687" s="63">
        <f t="shared" si="111"/>
        <v>0</v>
      </c>
    </row>
    <row r="688" spans="12:27" hidden="1" x14ac:dyDescent="0.25">
      <c r="L688" s="2" t="str">
        <f t="shared" si="113"/>
        <v/>
      </c>
      <c r="M688" s="45">
        <f t="shared" si="112"/>
        <v>55</v>
      </c>
      <c r="N688" s="36">
        <v>668</v>
      </c>
      <c r="O688" s="91">
        <f t="shared" si="108"/>
        <v>0</v>
      </c>
      <c r="P688" s="38">
        <f t="shared" si="109"/>
        <v>0</v>
      </c>
      <c r="W688" s="26">
        <f t="shared" si="110"/>
        <v>0</v>
      </c>
      <c r="AA688" s="63">
        <f t="shared" si="111"/>
        <v>0</v>
      </c>
    </row>
    <row r="689" spans="12:27" hidden="1" x14ac:dyDescent="0.25">
      <c r="L689" s="2" t="str">
        <f t="shared" si="113"/>
        <v/>
      </c>
      <c r="M689" s="45">
        <f t="shared" si="112"/>
        <v>55</v>
      </c>
      <c r="N689" s="36">
        <v>669</v>
      </c>
      <c r="O689" s="91">
        <f t="shared" si="108"/>
        <v>0</v>
      </c>
      <c r="P689" s="38">
        <f t="shared" si="109"/>
        <v>0</v>
      </c>
      <c r="W689" s="26">
        <f t="shared" si="110"/>
        <v>0</v>
      </c>
      <c r="AA689" s="63">
        <f t="shared" si="111"/>
        <v>0</v>
      </c>
    </row>
    <row r="690" spans="12:27" hidden="1" x14ac:dyDescent="0.25">
      <c r="L690" s="2" t="str">
        <f t="shared" si="113"/>
        <v/>
      </c>
      <c r="M690" s="45">
        <f t="shared" si="112"/>
        <v>55</v>
      </c>
      <c r="N690" s="36">
        <v>670</v>
      </c>
      <c r="O690" s="91">
        <f t="shared" si="108"/>
        <v>0</v>
      </c>
      <c r="P690" s="38">
        <f t="shared" si="109"/>
        <v>0</v>
      </c>
      <c r="W690" s="26">
        <f t="shared" si="110"/>
        <v>0</v>
      </c>
      <c r="AA690" s="63">
        <f t="shared" si="111"/>
        <v>0</v>
      </c>
    </row>
    <row r="691" spans="12:27" hidden="1" x14ac:dyDescent="0.25">
      <c r="L691" s="2" t="str">
        <f t="shared" si="113"/>
        <v/>
      </c>
      <c r="M691" s="45">
        <f t="shared" si="112"/>
        <v>55</v>
      </c>
      <c r="N691" s="36">
        <v>671</v>
      </c>
      <c r="O691" s="91">
        <f t="shared" si="108"/>
        <v>0</v>
      </c>
      <c r="P691" s="38">
        <f t="shared" si="109"/>
        <v>0</v>
      </c>
      <c r="W691" s="26">
        <f t="shared" si="110"/>
        <v>0</v>
      </c>
      <c r="AA691" s="63">
        <f t="shared" si="111"/>
        <v>0</v>
      </c>
    </row>
    <row r="692" spans="12:27" hidden="1" x14ac:dyDescent="0.25">
      <c r="L692" s="2" t="str">
        <f t="shared" si="113"/>
        <v/>
      </c>
      <c r="M692" s="45">
        <f t="shared" si="112"/>
        <v>55</v>
      </c>
      <c r="N692" s="36">
        <v>672</v>
      </c>
      <c r="O692" s="91">
        <f t="shared" si="108"/>
        <v>0</v>
      </c>
      <c r="P692" s="38">
        <f t="shared" si="109"/>
        <v>0</v>
      </c>
      <c r="W692" s="26">
        <f t="shared" si="110"/>
        <v>0</v>
      </c>
      <c r="AA692" s="63">
        <f t="shared" si="111"/>
        <v>0</v>
      </c>
    </row>
    <row r="693" spans="12:27" hidden="1" x14ac:dyDescent="0.25">
      <c r="L693" s="2" t="str">
        <f t="shared" si="113"/>
        <v/>
      </c>
      <c r="M693" s="45">
        <f t="shared" si="112"/>
        <v>56</v>
      </c>
      <c r="N693" s="36">
        <v>673</v>
      </c>
      <c r="O693" s="91">
        <f t="shared" si="108"/>
        <v>0</v>
      </c>
      <c r="P693" s="38">
        <f t="shared" si="109"/>
        <v>0</v>
      </c>
      <c r="W693" s="26">
        <f t="shared" si="110"/>
        <v>0</v>
      </c>
      <c r="AA693" s="63">
        <f t="shared" si="111"/>
        <v>0</v>
      </c>
    </row>
    <row r="694" spans="12:27" hidden="1" x14ac:dyDescent="0.25">
      <c r="L694" s="2" t="str">
        <f t="shared" si="113"/>
        <v/>
      </c>
      <c r="M694" s="45">
        <f t="shared" si="112"/>
        <v>56</v>
      </c>
      <c r="N694" s="36">
        <v>674</v>
      </c>
      <c r="O694" s="91">
        <f t="shared" si="108"/>
        <v>0</v>
      </c>
      <c r="P694" s="38">
        <f t="shared" si="109"/>
        <v>0</v>
      </c>
      <c r="W694" s="26">
        <f t="shared" si="110"/>
        <v>0</v>
      </c>
      <c r="AA694" s="63">
        <f t="shared" si="111"/>
        <v>0</v>
      </c>
    </row>
    <row r="695" spans="12:27" hidden="1" x14ac:dyDescent="0.25">
      <c r="L695" s="2" t="str">
        <f t="shared" si="113"/>
        <v/>
      </c>
      <c r="M695" s="45">
        <f t="shared" si="112"/>
        <v>56</v>
      </c>
      <c r="N695" s="36">
        <v>675</v>
      </c>
      <c r="O695" s="91">
        <f t="shared" si="108"/>
        <v>0</v>
      </c>
      <c r="P695" s="38">
        <f t="shared" si="109"/>
        <v>0</v>
      </c>
      <c r="W695" s="26">
        <f t="shared" si="110"/>
        <v>0</v>
      </c>
      <c r="AA695" s="63">
        <f t="shared" si="111"/>
        <v>0</v>
      </c>
    </row>
    <row r="696" spans="12:27" hidden="1" x14ac:dyDescent="0.25">
      <c r="L696" s="2" t="str">
        <f t="shared" si="113"/>
        <v/>
      </c>
      <c r="M696" s="45">
        <f t="shared" si="112"/>
        <v>56</v>
      </c>
      <c r="N696" s="36">
        <v>676</v>
      </c>
      <c r="O696" s="91">
        <f t="shared" si="108"/>
        <v>0</v>
      </c>
      <c r="P696" s="38">
        <f t="shared" si="109"/>
        <v>0</v>
      </c>
      <c r="W696" s="26">
        <f t="shared" si="110"/>
        <v>0</v>
      </c>
      <c r="AA696" s="63">
        <f t="shared" si="111"/>
        <v>0</v>
      </c>
    </row>
    <row r="697" spans="12:27" hidden="1" x14ac:dyDescent="0.25">
      <c r="L697" s="2" t="str">
        <f t="shared" si="113"/>
        <v/>
      </c>
      <c r="M697" s="45">
        <f t="shared" si="112"/>
        <v>56</v>
      </c>
      <c r="N697" s="36">
        <v>677</v>
      </c>
      <c r="O697" s="91">
        <f t="shared" si="108"/>
        <v>0</v>
      </c>
      <c r="P697" s="38">
        <f t="shared" si="109"/>
        <v>0</v>
      </c>
      <c r="W697" s="26">
        <f t="shared" si="110"/>
        <v>0</v>
      </c>
      <c r="AA697" s="63">
        <f t="shared" si="111"/>
        <v>0</v>
      </c>
    </row>
    <row r="698" spans="12:27" hidden="1" x14ac:dyDescent="0.25">
      <c r="L698" s="2" t="str">
        <f t="shared" si="113"/>
        <v/>
      </c>
      <c r="M698" s="45">
        <f t="shared" si="112"/>
        <v>56</v>
      </c>
      <c r="N698" s="36">
        <v>678</v>
      </c>
      <c r="O698" s="91">
        <f t="shared" si="108"/>
        <v>0</v>
      </c>
      <c r="P698" s="38">
        <f t="shared" si="109"/>
        <v>0</v>
      </c>
      <c r="W698" s="26">
        <f t="shared" si="110"/>
        <v>0</v>
      </c>
      <c r="AA698" s="63">
        <f t="shared" si="111"/>
        <v>0</v>
      </c>
    </row>
    <row r="699" spans="12:27" hidden="1" x14ac:dyDescent="0.25">
      <c r="L699" s="2" t="str">
        <f t="shared" si="113"/>
        <v/>
      </c>
      <c r="M699" s="45">
        <f t="shared" si="112"/>
        <v>56</v>
      </c>
      <c r="N699" s="36">
        <v>679</v>
      </c>
      <c r="O699" s="91">
        <f t="shared" si="108"/>
        <v>0</v>
      </c>
      <c r="P699" s="38">
        <f t="shared" si="109"/>
        <v>0</v>
      </c>
      <c r="W699" s="26">
        <f t="shared" si="110"/>
        <v>0</v>
      </c>
      <c r="AA699" s="63">
        <f t="shared" si="111"/>
        <v>0</v>
      </c>
    </row>
    <row r="700" spans="12:27" hidden="1" x14ac:dyDescent="0.25">
      <c r="L700" s="2" t="str">
        <f t="shared" si="113"/>
        <v/>
      </c>
      <c r="M700" s="45">
        <f t="shared" si="112"/>
        <v>56</v>
      </c>
      <c r="N700" s="36">
        <v>680</v>
      </c>
      <c r="O700" s="91">
        <f t="shared" si="108"/>
        <v>0</v>
      </c>
      <c r="P700" s="38">
        <f t="shared" si="109"/>
        <v>0</v>
      </c>
      <c r="W700" s="26">
        <f t="shared" si="110"/>
        <v>0</v>
      </c>
      <c r="AA700" s="63">
        <f t="shared" si="111"/>
        <v>0</v>
      </c>
    </row>
    <row r="701" spans="12:27" hidden="1" x14ac:dyDescent="0.25">
      <c r="L701" s="2" t="str">
        <f t="shared" si="113"/>
        <v/>
      </c>
      <c r="M701" s="45">
        <f t="shared" si="112"/>
        <v>56</v>
      </c>
      <c r="N701" s="36">
        <v>681</v>
      </c>
      <c r="O701" s="91">
        <f t="shared" si="108"/>
        <v>0</v>
      </c>
      <c r="P701" s="38">
        <f t="shared" si="109"/>
        <v>0</v>
      </c>
      <c r="W701" s="26">
        <f t="shared" si="110"/>
        <v>0</v>
      </c>
      <c r="AA701" s="63">
        <f t="shared" si="111"/>
        <v>0</v>
      </c>
    </row>
    <row r="702" spans="12:27" hidden="1" x14ac:dyDescent="0.25">
      <c r="L702" s="2" t="str">
        <f t="shared" si="113"/>
        <v/>
      </c>
      <c r="M702" s="45">
        <f t="shared" si="112"/>
        <v>56</v>
      </c>
      <c r="N702" s="36">
        <v>682</v>
      </c>
      <c r="O702" s="91">
        <f t="shared" si="108"/>
        <v>0</v>
      </c>
      <c r="P702" s="38">
        <f t="shared" si="109"/>
        <v>0</v>
      </c>
      <c r="W702" s="26">
        <f t="shared" si="110"/>
        <v>0</v>
      </c>
      <c r="AA702" s="63">
        <f t="shared" si="111"/>
        <v>0</v>
      </c>
    </row>
    <row r="703" spans="12:27" hidden="1" x14ac:dyDescent="0.25">
      <c r="L703" s="2" t="str">
        <f t="shared" si="113"/>
        <v/>
      </c>
      <c r="M703" s="45">
        <f t="shared" si="112"/>
        <v>56</v>
      </c>
      <c r="N703" s="36">
        <v>683</v>
      </c>
      <c r="O703" s="91">
        <f t="shared" si="108"/>
        <v>0</v>
      </c>
      <c r="P703" s="38">
        <f t="shared" si="109"/>
        <v>0</v>
      </c>
      <c r="W703" s="26">
        <f t="shared" si="110"/>
        <v>0</v>
      </c>
      <c r="AA703" s="63">
        <f t="shared" si="111"/>
        <v>0</v>
      </c>
    </row>
    <row r="704" spans="12:27" hidden="1" x14ac:dyDescent="0.25">
      <c r="L704" s="2" t="str">
        <f t="shared" si="113"/>
        <v/>
      </c>
      <c r="M704" s="45">
        <f t="shared" si="112"/>
        <v>56</v>
      </c>
      <c r="N704" s="36">
        <v>684</v>
      </c>
      <c r="O704" s="91">
        <f t="shared" si="108"/>
        <v>0</v>
      </c>
      <c r="P704" s="38">
        <f t="shared" si="109"/>
        <v>0</v>
      </c>
      <c r="W704" s="26">
        <f t="shared" si="110"/>
        <v>0</v>
      </c>
      <c r="AA704" s="63">
        <f t="shared" si="111"/>
        <v>0</v>
      </c>
    </row>
    <row r="705" spans="12:27" hidden="1" x14ac:dyDescent="0.25">
      <c r="L705" s="2" t="str">
        <f t="shared" si="113"/>
        <v/>
      </c>
      <c r="M705" s="45">
        <f t="shared" si="112"/>
        <v>57</v>
      </c>
      <c r="N705" s="36">
        <v>685</v>
      </c>
      <c r="O705" s="91">
        <f t="shared" si="108"/>
        <v>0</v>
      </c>
      <c r="P705" s="38">
        <f t="shared" si="109"/>
        <v>0</v>
      </c>
      <c r="W705" s="26">
        <f t="shared" si="110"/>
        <v>0</v>
      </c>
      <c r="AA705" s="63">
        <f t="shared" si="111"/>
        <v>0</v>
      </c>
    </row>
    <row r="706" spans="12:27" hidden="1" x14ac:dyDescent="0.25">
      <c r="L706" s="2" t="str">
        <f t="shared" si="113"/>
        <v/>
      </c>
      <c r="M706" s="45">
        <f t="shared" si="112"/>
        <v>57</v>
      </c>
      <c r="N706" s="36">
        <v>686</v>
      </c>
      <c r="O706" s="91">
        <f t="shared" si="108"/>
        <v>0</v>
      </c>
      <c r="P706" s="38">
        <f t="shared" si="109"/>
        <v>0</v>
      </c>
      <c r="W706" s="26">
        <f t="shared" si="110"/>
        <v>0</v>
      </c>
      <c r="AA706" s="63">
        <f t="shared" si="111"/>
        <v>0</v>
      </c>
    </row>
    <row r="707" spans="12:27" hidden="1" x14ac:dyDescent="0.25">
      <c r="L707" s="2" t="str">
        <f t="shared" si="113"/>
        <v/>
      </c>
      <c r="M707" s="45">
        <f t="shared" si="112"/>
        <v>57</v>
      </c>
      <c r="N707" s="36">
        <v>687</v>
      </c>
      <c r="O707" s="91">
        <f t="shared" si="108"/>
        <v>0</v>
      </c>
      <c r="P707" s="38">
        <f t="shared" si="109"/>
        <v>0</v>
      </c>
      <c r="W707" s="26">
        <f t="shared" si="110"/>
        <v>0</v>
      </c>
      <c r="AA707" s="63">
        <f t="shared" si="111"/>
        <v>0</v>
      </c>
    </row>
    <row r="708" spans="12:27" hidden="1" x14ac:dyDescent="0.25">
      <c r="L708" s="2" t="str">
        <f t="shared" si="113"/>
        <v/>
      </c>
      <c r="M708" s="45">
        <f t="shared" si="112"/>
        <v>57</v>
      </c>
      <c r="N708" s="36">
        <v>688</v>
      </c>
      <c r="O708" s="91">
        <f t="shared" si="108"/>
        <v>0</v>
      </c>
      <c r="P708" s="38">
        <f t="shared" si="109"/>
        <v>0</v>
      </c>
      <c r="W708" s="26">
        <f t="shared" si="110"/>
        <v>0</v>
      </c>
      <c r="AA708" s="63">
        <f t="shared" si="111"/>
        <v>0</v>
      </c>
    </row>
    <row r="709" spans="12:27" hidden="1" x14ac:dyDescent="0.25">
      <c r="L709" s="2" t="str">
        <f t="shared" si="113"/>
        <v/>
      </c>
      <c r="M709" s="45">
        <f t="shared" si="112"/>
        <v>57</v>
      </c>
      <c r="N709" s="36">
        <v>689</v>
      </c>
      <c r="O709" s="91">
        <f t="shared" si="108"/>
        <v>0</v>
      </c>
      <c r="P709" s="38">
        <f t="shared" si="109"/>
        <v>0</v>
      </c>
      <c r="W709" s="26">
        <f t="shared" si="110"/>
        <v>0</v>
      </c>
      <c r="AA709" s="63">
        <f t="shared" si="111"/>
        <v>0</v>
      </c>
    </row>
    <row r="710" spans="12:27" hidden="1" x14ac:dyDescent="0.25">
      <c r="L710" s="2" t="str">
        <f t="shared" si="113"/>
        <v/>
      </c>
      <c r="M710" s="45">
        <f t="shared" si="112"/>
        <v>57</v>
      </c>
      <c r="N710" s="36">
        <v>690</v>
      </c>
      <c r="O710" s="91">
        <f t="shared" si="108"/>
        <v>0</v>
      </c>
      <c r="P710" s="38">
        <f t="shared" si="109"/>
        <v>0</v>
      </c>
      <c r="W710" s="26">
        <f t="shared" si="110"/>
        <v>0</v>
      </c>
      <c r="AA710" s="63">
        <f t="shared" si="111"/>
        <v>0</v>
      </c>
    </row>
    <row r="711" spans="12:27" hidden="1" x14ac:dyDescent="0.25">
      <c r="L711" s="2" t="str">
        <f t="shared" si="113"/>
        <v/>
      </c>
      <c r="M711" s="45">
        <f t="shared" si="112"/>
        <v>57</v>
      </c>
      <c r="N711" s="36">
        <v>691</v>
      </c>
      <c r="O711" s="91">
        <f t="shared" si="108"/>
        <v>0</v>
      </c>
      <c r="P711" s="38">
        <f t="shared" si="109"/>
        <v>0</v>
      </c>
      <c r="W711" s="26">
        <f t="shared" si="110"/>
        <v>0</v>
      </c>
      <c r="AA711" s="63">
        <f t="shared" si="111"/>
        <v>0</v>
      </c>
    </row>
    <row r="712" spans="12:27" hidden="1" x14ac:dyDescent="0.25">
      <c r="L712" s="2" t="str">
        <f t="shared" si="113"/>
        <v/>
      </c>
      <c r="M712" s="45">
        <f t="shared" si="112"/>
        <v>57</v>
      </c>
      <c r="N712" s="36">
        <v>692</v>
      </c>
      <c r="O712" s="91">
        <f t="shared" si="108"/>
        <v>0</v>
      </c>
      <c r="P712" s="38">
        <f t="shared" si="109"/>
        <v>0</v>
      </c>
      <c r="W712" s="26">
        <f t="shared" si="110"/>
        <v>0</v>
      </c>
      <c r="AA712" s="63">
        <f t="shared" si="111"/>
        <v>0</v>
      </c>
    </row>
    <row r="713" spans="12:27" hidden="1" x14ac:dyDescent="0.25">
      <c r="L713" s="2" t="str">
        <f t="shared" si="113"/>
        <v/>
      </c>
      <c r="M713" s="45">
        <f t="shared" si="112"/>
        <v>57</v>
      </c>
      <c r="N713" s="36">
        <v>693</v>
      </c>
      <c r="O713" s="91">
        <f t="shared" si="108"/>
        <v>0</v>
      </c>
      <c r="P713" s="38">
        <f t="shared" si="109"/>
        <v>0</v>
      </c>
      <c r="W713" s="26">
        <f t="shared" si="110"/>
        <v>0</v>
      </c>
      <c r="AA713" s="63">
        <f t="shared" si="111"/>
        <v>0</v>
      </c>
    </row>
    <row r="714" spans="12:27" hidden="1" x14ac:dyDescent="0.25">
      <c r="L714" s="2" t="str">
        <f t="shared" si="113"/>
        <v/>
      </c>
      <c r="M714" s="45">
        <f t="shared" si="112"/>
        <v>57</v>
      </c>
      <c r="N714" s="36">
        <v>694</v>
      </c>
      <c r="O714" s="91">
        <f t="shared" si="108"/>
        <v>0</v>
      </c>
      <c r="P714" s="38">
        <f t="shared" si="109"/>
        <v>0</v>
      </c>
      <c r="W714" s="26">
        <f t="shared" si="110"/>
        <v>0</v>
      </c>
      <c r="AA714" s="63">
        <f t="shared" si="111"/>
        <v>0</v>
      </c>
    </row>
    <row r="715" spans="12:27" hidden="1" x14ac:dyDescent="0.25">
      <c r="L715" s="2" t="str">
        <f t="shared" si="113"/>
        <v/>
      </c>
      <c r="M715" s="45">
        <f t="shared" si="112"/>
        <v>57</v>
      </c>
      <c r="N715" s="36">
        <v>695</v>
      </c>
      <c r="O715" s="91">
        <f t="shared" si="108"/>
        <v>0</v>
      </c>
      <c r="P715" s="38">
        <f t="shared" si="109"/>
        <v>0</v>
      </c>
      <c r="W715" s="26">
        <f t="shared" si="110"/>
        <v>0</v>
      </c>
      <c r="AA715" s="63">
        <f t="shared" si="111"/>
        <v>0</v>
      </c>
    </row>
    <row r="716" spans="12:27" hidden="1" x14ac:dyDescent="0.25">
      <c r="L716" s="2" t="str">
        <f t="shared" si="113"/>
        <v/>
      </c>
      <c r="M716" s="45">
        <f t="shared" si="112"/>
        <v>57</v>
      </c>
      <c r="N716" s="36">
        <v>696</v>
      </c>
      <c r="O716" s="91">
        <f t="shared" si="108"/>
        <v>0</v>
      </c>
      <c r="P716" s="38">
        <f t="shared" si="109"/>
        <v>0</v>
      </c>
      <c r="W716" s="26">
        <f t="shared" si="110"/>
        <v>0</v>
      </c>
      <c r="AA716" s="63">
        <f t="shared" si="111"/>
        <v>0</v>
      </c>
    </row>
    <row r="717" spans="12:27" hidden="1" x14ac:dyDescent="0.25">
      <c r="L717" s="2" t="str">
        <f t="shared" si="113"/>
        <v/>
      </c>
      <c r="M717" s="45">
        <f t="shared" si="112"/>
        <v>58</v>
      </c>
      <c r="N717" s="36">
        <v>697</v>
      </c>
      <c r="O717" s="91">
        <f t="shared" si="108"/>
        <v>0</v>
      </c>
      <c r="P717" s="38">
        <f t="shared" si="109"/>
        <v>0</v>
      </c>
      <c r="W717" s="26">
        <f t="shared" si="110"/>
        <v>0</v>
      </c>
      <c r="AA717" s="63">
        <f t="shared" si="111"/>
        <v>0</v>
      </c>
    </row>
    <row r="718" spans="12:27" hidden="1" x14ac:dyDescent="0.25">
      <c r="L718" s="2" t="str">
        <f t="shared" si="113"/>
        <v/>
      </c>
      <c r="M718" s="45">
        <f t="shared" si="112"/>
        <v>58</v>
      </c>
      <c r="N718" s="36">
        <v>698</v>
      </c>
      <c r="O718" s="91">
        <f t="shared" si="108"/>
        <v>0</v>
      </c>
      <c r="P718" s="38">
        <f t="shared" si="109"/>
        <v>0</v>
      </c>
      <c r="W718" s="26">
        <f t="shared" si="110"/>
        <v>0</v>
      </c>
      <c r="AA718" s="63">
        <f t="shared" si="111"/>
        <v>0</v>
      </c>
    </row>
    <row r="719" spans="12:27" hidden="1" x14ac:dyDescent="0.25">
      <c r="L719" s="2" t="str">
        <f t="shared" si="113"/>
        <v/>
      </c>
      <c r="M719" s="45">
        <f t="shared" si="112"/>
        <v>58</v>
      </c>
      <c r="N719" s="36">
        <v>699</v>
      </c>
      <c r="O719" s="91">
        <f t="shared" si="108"/>
        <v>0</v>
      </c>
      <c r="P719" s="38">
        <f t="shared" si="109"/>
        <v>0</v>
      </c>
      <c r="W719" s="26">
        <f t="shared" si="110"/>
        <v>0</v>
      </c>
      <c r="AA719" s="63">
        <f t="shared" si="111"/>
        <v>0</v>
      </c>
    </row>
    <row r="720" spans="12:27" hidden="1" x14ac:dyDescent="0.25">
      <c r="L720" s="2" t="str">
        <f t="shared" si="113"/>
        <v/>
      </c>
      <c r="M720" s="45">
        <f t="shared" si="112"/>
        <v>58</v>
      </c>
      <c r="N720" s="36">
        <v>700</v>
      </c>
      <c r="O720" s="91">
        <f t="shared" si="108"/>
        <v>0</v>
      </c>
      <c r="P720" s="38">
        <f t="shared" si="109"/>
        <v>0</v>
      </c>
      <c r="W720" s="26">
        <f t="shared" si="110"/>
        <v>0</v>
      </c>
      <c r="AA720" s="63">
        <f t="shared" si="111"/>
        <v>0</v>
      </c>
    </row>
    <row r="721" spans="12:27" hidden="1" x14ac:dyDescent="0.25">
      <c r="L721" s="2" t="str">
        <f t="shared" si="113"/>
        <v/>
      </c>
      <c r="M721" s="45">
        <f t="shared" si="112"/>
        <v>58</v>
      </c>
      <c r="N721" s="36">
        <v>701</v>
      </c>
      <c r="O721" s="91">
        <f t="shared" si="108"/>
        <v>0</v>
      </c>
      <c r="P721" s="38">
        <f t="shared" si="109"/>
        <v>0</v>
      </c>
      <c r="W721" s="26">
        <f t="shared" si="110"/>
        <v>0</v>
      </c>
      <c r="AA721" s="63">
        <f t="shared" si="111"/>
        <v>0</v>
      </c>
    </row>
    <row r="722" spans="12:27" hidden="1" x14ac:dyDescent="0.25">
      <c r="L722" s="2" t="str">
        <f t="shared" si="113"/>
        <v/>
      </c>
      <c r="M722" s="45">
        <f t="shared" si="112"/>
        <v>58</v>
      </c>
      <c r="N722" s="36">
        <v>702</v>
      </c>
      <c r="O722" s="91">
        <f t="shared" si="108"/>
        <v>0</v>
      </c>
      <c r="P722" s="38">
        <f t="shared" si="109"/>
        <v>0</v>
      </c>
      <c r="W722" s="26">
        <f t="shared" si="110"/>
        <v>0</v>
      </c>
      <c r="AA722" s="63">
        <f t="shared" si="111"/>
        <v>0</v>
      </c>
    </row>
    <row r="723" spans="12:27" hidden="1" x14ac:dyDescent="0.25">
      <c r="L723" s="2" t="str">
        <f t="shared" si="113"/>
        <v/>
      </c>
      <c r="M723" s="45">
        <f t="shared" si="112"/>
        <v>58</v>
      </c>
      <c r="N723" s="36">
        <v>703</v>
      </c>
      <c r="O723" s="91">
        <f t="shared" si="108"/>
        <v>0</v>
      </c>
      <c r="P723" s="38">
        <f t="shared" si="109"/>
        <v>0</v>
      </c>
      <c r="W723" s="26">
        <f t="shared" si="110"/>
        <v>0</v>
      </c>
      <c r="AA723" s="63">
        <f t="shared" si="111"/>
        <v>0</v>
      </c>
    </row>
    <row r="724" spans="12:27" hidden="1" x14ac:dyDescent="0.25">
      <c r="L724" s="2" t="str">
        <f t="shared" si="113"/>
        <v/>
      </c>
      <c r="M724" s="45">
        <f t="shared" si="112"/>
        <v>58</v>
      </c>
      <c r="N724" s="36">
        <v>704</v>
      </c>
      <c r="O724" s="91">
        <f t="shared" si="108"/>
        <v>0</v>
      </c>
      <c r="P724" s="38">
        <f t="shared" si="109"/>
        <v>0</v>
      </c>
      <c r="W724" s="26">
        <f t="shared" si="110"/>
        <v>0</v>
      </c>
      <c r="AA724" s="63">
        <f t="shared" si="111"/>
        <v>0</v>
      </c>
    </row>
    <row r="725" spans="12:27" hidden="1" x14ac:dyDescent="0.25">
      <c r="L725" s="2" t="str">
        <f t="shared" si="113"/>
        <v/>
      </c>
      <c r="M725" s="45">
        <f t="shared" si="112"/>
        <v>58</v>
      </c>
      <c r="N725" s="36">
        <v>705</v>
      </c>
      <c r="O725" s="91">
        <f t="shared" ref="O725:O788" si="114">IF(N725&lt;=InvMonths,SU_Amt*(1+GRate)^M725,0)</f>
        <v>0</v>
      </c>
      <c r="P725" s="38">
        <f t="shared" ref="P725:P788" si="115">FV(SIPRate,InvMonths-N725+1,0,-O725,1)</f>
        <v>0</v>
      </c>
      <c r="W725" s="26">
        <f t="shared" ref="W725:W788" si="116">IF(N725&lt;=InvMonths,$X$18,0)</f>
        <v>0</v>
      </c>
      <c r="AA725" s="63">
        <f t="shared" ref="AA725:AA788" si="117">IF(N725&lt;=InvMonths,$AB$18*(1+$C$32)^M725,0)</f>
        <v>0</v>
      </c>
    </row>
    <row r="726" spans="12:27" hidden="1" x14ac:dyDescent="0.25">
      <c r="L726" s="2" t="str">
        <f t="shared" si="113"/>
        <v/>
      </c>
      <c r="M726" s="45">
        <f t="shared" ref="M726:M789" si="118">IF(MOD(N726,12)=0,(N726/12)-1,QUOTIENT(N726,12))</f>
        <v>58</v>
      </c>
      <c r="N726" s="36">
        <v>706</v>
      </c>
      <c r="O726" s="91">
        <f t="shared" si="114"/>
        <v>0</v>
      </c>
      <c r="P726" s="38">
        <f t="shared" si="115"/>
        <v>0</v>
      </c>
      <c r="W726" s="26">
        <f t="shared" si="116"/>
        <v>0</v>
      </c>
      <c r="AA726" s="63">
        <f t="shared" si="117"/>
        <v>0</v>
      </c>
    </row>
    <row r="727" spans="12:27" hidden="1" x14ac:dyDescent="0.25">
      <c r="L727" s="2" t="str">
        <f t="shared" si="113"/>
        <v/>
      </c>
      <c r="M727" s="45">
        <f t="shared" si="118"/>
        <v>58</v>
      </c>
      <c r="N727" s="36">
        <v>707</v>
      </c>
      <c r="O727" s="91">
        <f t="shared" si="114"/>
        <v>0</v>
      </c>
      <c r="P727" s="38">
        <f t="shared" si="115"/>
        <v>0</v>
      </c>
      <c r="W727" s="26">
        <f t="shared" si="116"/>
        <v>0</v>
      </c>
      <c r="AA727" s="63">
        <f t="shared" si="117"/>
        <v>0</v>
      </c>
    </row>
    <row r="728" spans="12:27" hidden="1" x14ac:dyDescent="0.25">
      <c r="L728" s="2" t="str">
        <f t="shared" si="113"/>
        <v/>
      </c>
      <c r="M728" s="45">
        <f t="shared" si="118"/>
        <v>58</v>
      </c>
      <c r="N728" s="36">
        <v>708</v>
      </c>
      <c r="O728" s="91">
        <f t="shared" si="114"/>
        <v>0</v>
      </c>
      <c r="P728" s="38">
        <f t="shared" si="115"/>
        <v>0</v>
      </c>
      <c r="W728" s="26">
        <f t="shared" si="116"/>
        <v>0</v>
      </c>
      <c r="AA728" s="63">
        <f t="shared" si="117"/>
        <v>0</v>
      </c>
    </row>
    <row r="729" spans="12:27" hidden="1" x14ac:dyDescent="0.25">
      <c r="L729" s="2" t="str">
        <f t="shared" si="113"/>
        <v/>
      </c>
      <c r="M729" s="45">
        <f t="shared" si="118"/>
        <v>59</v>
      </c>
      <c r="N729" s="36">
        <v>709</v>
      </c>
      <c r="O729" s="91">
        <f t="shared" si="114"/>
        <v>0</v>
      </c>
      <c r="P729" s="38">
        <f t="shared" si="115"/>
        <v>0</v>
      </c>
      <c r="W729" s="26">
        <f t="shared" si="116"/>
        <v>0</v>
      </c>
      <c r="AA729" s="63">
        <f t="shared" si="117"/>
        <v>0</v>
      </c>
    </row>
    <row r="730" spans="12:27" hidden="1" x14ac:dyDescent="0.25">
      <c r="L730" s="2" t="str">
        <f t="shared" si="113"/>
        <v/>
      </c>
      <c r="M730" s="45">
        <f t="shared" si="118"/>
        <v>59</v>
      </c>
      <c r="N730" s="36">
        <v>710</v>
      </c>
      <c r="O730" s="91">
        <f t="shared" si="114"/>
        <v>0</v>
      </c>
      <c r="P730" s="38">
        <f t="shared" si="115"/>
        <v>0</v>
      </c>
      <c r="W730" s="26">
        <f t="shared" si="116"/>
        <v>0</v>
      </c>
      <c r="AA730" s="63">
        <f t="shared" si="117"/>
        <v>0</v>
      </c>
    </row>
    <row r="731" spans="12:27" hidden="1" x14ac:dyDescent="0.25">
      <c r="L731" s="2" t="str">
        <f t="shared" si="113"/>
        <v/>
      </c>
      <c r="M731" s="45">
        <f t="shared" si="118"/>
        <v>59</v>
      </c>
      <c r="N731" s="36">
        <v>711</v>
      </c>
      <c r="O731" s="91">
        <f t="shared" si="114"/>
        <v>0</v>
      </c>
      <c r="P731" s="38">
        <f t="shared" si="115"/>
        <v>0</v>
      </c>
      <c r="W731" s="26">
        <f t="shared" si="116"/>
        <v>0</v>
      </c>
      <c r="AA731" s="63">
        <f t="shared" si="117"/>
        <v>0</v>
      </c>
    </row>
    <row r="732" spans="12:27" hidden="1" x14ac:dyDescent="0.25">
      <c r="L732" s="2" t="str">
        <f t="shared" si="113"/>
        <v/>
      </c>
      <c r="M732" s="45">
        <f t="shared" si="118"/>
        <v>59</v>
      </c>
      <c r="N732" s="36">
        <v>712</v>
      </c>
      <c r="O732" s="91">
        <f t="shared" si="114"/>
        <v>0</v>
      </c>
      <c r="P732" s="38">
        <f t="shared" si="115"/>
        <v>0</v>
      </c>
      <c r="W732" s="26">
        <f t="shared" si="116"/>
        <v>0</v>
      </c>
      <c r="AA732" s="63">
        <f t="shared" si="117"/>
        <v>0</v>
      </c>
    </row>
    <row r="733" spans="12:27" hidden="1" x14ac:dyDescent="0.25">
      <c r="L733" s="2" t="str">
        <f t="shared" si="113"/>
        <v/>
      </c>
      <c r="M733" s="45">
        <f t="shared" si="118"/>
        <v>59</v>
      </c>
      <c r="N733" s="36">
        <v>713</v>
      </c>
      <c r="O733" s="91">
        <f t="shared" si="114"/>
        <v>0</v>
      </c>
      <c r="P733" s="38">
        <f t="shared" si="115"/>
        <v>0</v>
      </c>
      <c r="W733" s="26">
        <f t="shared" si="116"/>
        <v>0</v>
      </c>
      <c r="AA733" s="63">
        <f t="shared" si="117"/>
        <v>0</v>
      </c>
    </row>
    <row r="734" spans="12:27" hidden="1" x14ac:dyDescent="0.25">
      <c r="L734" s="2" t="str">
        <f t="shared" ref="L734:L797" si="119">IF(MOD(M734,12)=0,M734/12,"")</f>
        <v/>
      </c>
      <c r="M734" s="45">
        <f t="shared" si="118"/>
        <v>59</v>
      </c>
      <c r="N734" s="36">
        <v>714</v>
      </c>
      <c r="O734" s="91">
        <f t="shared" si="114"/>
        <v>0</v>
      </c>
      <c r="P734" s="38">
        <f t="shared" si="115"/>
        <v>0</v>
      </c>
      <c r="W734" s="26">
        <f t="shared" si="116"/>
        <v>0</v>
      </c>
      <c r="AA734" s="63">
        <f t="shared" si="117"/>
        <v>0</v>
      </c>
    </row>
    <row r="735" spans="12:27" hidden="1" x14ac:dyDescent="0.25">
      <c r="L735" s="2" t="str">
        <f t="shared" si="119"/>
        <v/>
      </c>
      <c r="M735" s="45">
        <f t="shared" si="118"/>
        <v>59</v>
      </c>
      <c r="N735" s="36">
        <v>715</v>
      </c>
      <c r="O735" s="91">
        <f t="shared" si="114"/>
        <v>0</v>
      </c>
      <c r="P735" s="38">
        <f t="shared" si="115"/>
        <v>0</v>
      </c>
      <c r="W735" s="26">
        <f t="shared" si="116"/>
        <v>0</v>
      </c>
      <c r="AA735" s="63">
        <f t="shared" si="117"/>
        <v>0</v>
      </c>
    </row>
    <row r="736" spans="12:27" hidden="1" x14ac:dyDescent="0.25">
      <c r="L736" s="2" t="str">
        <f t="shared" si="119"/>
        <v/>
      </c>
      <c r="M736" s="45">
        <f t="shared" si="118"/>
        <v>59</v>
      </c>
      <c r="N736" s="36">
        <v>716</v>
      </c>
      <c r="O736" s="91">
        <f t="shared" si="114"/>
        <v>0</v>
      </c>
      <c r="P736" s="38">
        <f t="shared" si="115"/>
        <v>0</v>
      </c>
      <c r="W736" s="26">
        <f t="shared" si="116"/>
        <v>0</v>
      </c>
      <c r="AA736" s="63">
        <f t="shared" si="117"/>
        <v>0</v>
      </c>
    </row>
    <row r="737" spans="12:27" hidden="1" x14ac:dyDescent="0.25">
      <c r="L737" s="2" t="str">
        <f t="shared" si="119"/>
        <v/>
      </c>
      <c r="M737" s="45">
        <f t="shared" si="118"/>
        <v>59</v>
      </c>
      <c r="N737" s="36">
        <v>717</v>
      </c>
      <c r="O737" s="91">
        <f t="shared" si="114"/>
        <v>0</v>
      </c>
      <c r="P737" s="38">
        <f t="shared" si="115"/>
        <v>0</v>
      </c>
      <c r="W737" s="26">
        <f t="shared" si="116"/>
        <v>0</v>
      </c>
      <c r="AA737" s="63">
        <f t="shared" si="117"/>
        <v>0</v>
      </c>
    </row>
    <row r="738" spans="12:27" hidden="1" x14ac:dyDescent="0.25">
      <c r="L738" s="2" t="str">
        <f t="shared" si="119"/>
        <v/>
      </c>
      <c r="M738" s="45">
        <f t="shared" si="118"/>
        <v>59</v>
      </c>
      <c r="N738" s="36">
        <v>718</v>
      </c>
      <c r="O738" s="91">
        <f t="shared" si="114"/>
        <v>0</v>
      </c>
      <c r="P738" s="38">
        <f t="shared" si="115"/>
        <v>0</v>
      </c>
      <c r="W738" s="26">
        <f t="shared" si="116"/>
        <v>0</v>
      </c>
      <c r="AA738" s="63">
        <f t="shared" si="117"/>
        <v>0</v>
      </c>
    </row>
    <row r="739" spans="12:27" hidden="1" x14ac:dyDescent="0.25">
      <c r="L739" s="2" t="str">
        <f t="shared" si="119"/>
        <v/>
      </c>
      <c r="M739" s="45">
        <f t="shared" si="118"/>
        <v>59</v>
      </c>
      <c r="N739" s="36">
        <v>719</v>
      </c>
      <c r="O739" s="91">
        <f t="shared" si="114"/>
        <v>0</v>
      </c>
      <c r="P739" s="38">
        <f t="shared" si="115"/>
        <v>0</v>
      </c>
      <c r="W739" s="26">
        <f t="shared" si="116"/>
        <v>0</v>
      </c>
      <c r="AA739" s="63">
        <f t="shared" si="117"/>
        <v>0</v>
      </c>
    </row>
    <row r="740" spans="12:27" hidden="1" x14ac:dyDescent="0.25">
      <c r="L740" s="2" t="str">
        <f t="shared" si="119"/>
        <v/>
      </c>
      <c r="M740" s="45">
        <f t="shared" si="118"/>
        <v>59</v>
      </c>
      <c r="N740" s="36">
        <v>720</v>
      </c>
      <c r="O740" s="91">
        <f t="shared" si="114"/>
        <v>0</v>
      </c>
      <c r="P740" s="38">
        <f t="shared" si="115"/>
        <v>0</v>
      </c>
      <c r="W740" s="26">
        <f t="shared" si="116"/>
        <v>0</v>
      </c>
      <c r="AA740" s="63">
        <f t="shared" si="117"/>
        <v>0</v>
      </c>
    </row>
    <row r="741" spans="12:27" hidden="1" x14ac:dyDescent="0.25">
      <c r="L741" s="2">
        <f t="shared" si="119"/>
        <v>5</v>
      </c>
      <c r="M741" s="45">
        <f t="shared" si="118"/>
        <v>60</v>
      </c>
      <c r="N741" s="36">
        <v>721</v>
      </c>
      <c r="O741" s="91">
        <f t="shared" si="114"/>
        <v>0</v>
      </c>
      <c r="P741" s="38">
        <f t="shared" si="115"/>
        <v>0</v>
      </c>
      <c r="W741" s="26">
        <f t="shared" si="116"/>
        <v>0</v>
      </c>
      <c r="AA741" s="63">
        <f t="shared" si="117"/>
        <v>0</v>
      </c>
    </row>
    <row r="742" spans="12:27" hidden="1" x14ac:dyDescent="0.25">
      <c r="L742" s="2">
        <f t="shared" si="119"/>
        <v>5</v>
      </c>
      <c r="M742" s="45">
        <f t="shared" si="118"/>
        <v>60</v>
      </c>
      <c r="N742" s="36">
        <v>722</v>
      </c>
      <c r="O742" s="91">
        <f t="shared" si="114"/>
        <v>0</v>
      </c>
      <c r="P742" s="38">
        <f t="shared" si="115"/>
        <v>0</v>
      </c>
      <c r="W742" s="26">
        <f t="shared" si="116"/>
        <v>0</v>
      </c>
      <c r="AA742" s="63">
        <f t="shared" si="117"/>
        <v>0</v>
      </c>
    </row>
    <row r="743" spans="12:27" hidden="1" x14ac:dyDescent="0.25">
      <c r="L743" s="2">
        <f t="shared" si="119"/>
        <v>5</v>
      </c>
      <c r="M743" s="45">
        <f t="shared" si="118"/>
        <v>60</v>
      </c>
      <c r="N743" s="36">
        <v>723</v>
      </c>
      <c r="O743" s="91">
        <f t="shared" si="114"/>
        <v>0</v>
      </c>
      <c r="P743" s="38">
        <f t="shared" si="115"/>
        <v>0</v>
      </c>
      <c r="W743" s="26">
        <f t="shared" si="116"/>
        <v>0</v>
      </c>
      <c r="AA743" s="63">
        <f t="shared" si="117"/>
        <v>0</v>
      </c>
    </row>
    <row r="744" spans="12:27" hidden="1" x14ac:dyDescent="0.25">
      <c r="L744" s="2">
        <f t="shared" si="119"/>
        <v>5</v>
      </c>
      <c r="M744" s="45">
        <f t="shared" si="118"/>
        <v>60</v>
      </c>
      <c r="N744" s="36">
        <v>724</v>
      </c>
      <c r="O744" s="91">
        <f t="shared" si="114"/>
        <v>0</v>
      </c>
      <c r="P744" s="38">
        <f t="shared" si="115"/>
        <v>0</v>
      </c>
      <c r="W744" s="26">
        <f t="shared" si="116"/>
        <v>0</v>
      </c>
      <c r="AA744" s="63">
        <f t="shared" si="117"/>
        <v>0</v>
      </c>
    </row>
    <row r="745" spans="12:27" hidden="1" x14ac:dyDescent="0.25">
      <c r="L745" s="2">
        <f t="shared" si="119"/>
        <v>5</v>
      </c>
      <c r="M745" s="45">
        <f t="shared" si="118"/>
        <v>60</v>
      </c>
      <c r="N745" s="36">
        <v>725</v>
      </c>
      <c r="O745" s="91">
        <f t="shared" si="114"/>
        <v>0</v>
      </c>
      <c r="P745" s="38">
        <f t="shared" si="115"/>
        <v>0</v>
      </c>
      <c r="W745" s="26">
        <f t="shared" si="116"/>
        <v>0</v>
      </c>
      <c r="AA745" s="63">
        <f t="shared" si="117"/>
        <v>0</v>
      </c>
    </row>
    <row r="746" spans="12:27" hidden="1" x14ac:dyDescent="0.25">
      <c r="L746" s="2">
        <f t="shared" si="119"/>
        <v>5</v>
      </c>
      <c r="M746" s="45">
        <f t="shared" si="118"/>
        <v>60</v>
      </c>
      <c r="N746" s="36">
        <v>726</v>
      </c>
      <c r="O746" s="91">
        <f t="shared" si="114"/>
        <v>0</v>
      </c>
      <c r="P746" s="38">
        <f t="shared" si="115"/>
        <v>0</v>
      </c>
      <c r="W746" s="26">
        <f t="shared" si="116"/>
        <v>0</v>
      </c>
      <c r="AA746" s="63">
        <f t="shared" si="117"/>
        <v>0</v>
      </c>
    </row>
    <row r="747" spans="12:27" hidden="1" x14ac:dyDescent="0.25">
      <c r="L747" s="2">
        <f t="shared" si="119"/>
        <v>5</v>
      </c>
      <c r="M747" s="45">
        <f t="shared" si="118"/>
        <v>60</v>
      </c>
      <c r="N747" s="36">
        <v>727</v>
      </c>
      <c r="O747" s="91">
        <f t="shared" si="114"/>
        <v>0</v>
      </c>
      <c r="P747" s="38">
        <f t="shared" si="115"/>
        <v>0</v>
      </c>
      <c r="W747" s="26">
        <f t="shared" si="116"/>
        <v>0</v>
      </c>
      <c r="AA747" s="63">
        <f t="shared" si="117"/>
        <v>0</v>
      </c>
    </row>
    <row r="748" spans="12:27" hidden="1" x14ac:dyDescent="0.25">
      <c r="L748" s="2">
        <f t="shared" si="119"/>
        <v>5</v>
      </c>
      <c r="M748" s="45">
        <f t="shared" si="118"/>
        <v>60</v>
      </c>
      <c r="N748" s="36">
        <v>728</v>
      </c>
      <c r="O748" s="91">
        <f t="shared" si="114"/>
        <v>0</v>
      </c>
      <c r="P748" s="38">
        <f t="shared" si="115"/>
        <v>0</v>
      </c>
      <c r="W748" s="26">
        <f t="shared" si="116"/>
        <v>0</v>
      </c>
      <c r="AA748" s="63">
        <f t="shared" si="117"/>
        <v>0</v>
      </c>
    </row>
    <row r="749" spans="12:27" hidden="1" x14ac:dyDescent="0.25">
      <c r="L749" s="2">
        <f t="shared" si="119"/>
        <v>5</v>
      </c>
      <c r="M749" s="45">
        <f t="shared" si="118"/>
        <v>60</v>
      </c>
      <c r="N749" s="36">
        <v>729</v>
      </c>
      <c r="O749" s="91">
        <f t="shared" si="114"/>
        <v>0</v>
      </c>
      <c r="P749" s="38">
        <f t="shared" si="115"/>
        <v>0</v>
      </c>
      <c r="W749" s="26">
        <f t="shared" si="116"/>
        <v>0</v>
      </c>
      <c r="AA749" s="63">
        <f t="shared" si="117"/>
        <v>0</v>
      </c>
    </row>
    <row r="750" spans="12:27" hidden="1" x14ac:dyDescent="0.25">
      <c r="L750" s="2">
        <f t="shared" si="119"/>
        <v>5</v>
      </c>
      <c r="M750" s="45">
        <f t="shared" si="118"/>
        <v>60</v>
      </c>
      <c r="N750" s="36">
        <v>730</v>
      </c>
      <c r="O750" s="91">
        <f t="shared" si="114"/>
        <v>0</v>
      </c>
      <c r="P750" s="38">
        <f t="shared" si="115"/>
        <v>0</v>
      </c>
      <c r="W750" s="26">
        <f t="shared" si="116"/>
        <v>0</v>
      </c>
      <c r="AA750" s="63">
        <f t="shared" si="117"/>
        <v>0</v>
      </c>
    </row>
    <row r="751" spans="12:27" hidden="1" x14ac:dyDescent="0.25">
      <c r="L751" s="2">
        <f t="shared" si="119"/>
        <v>5</v>
      </c>
      <c r="M751" s="45">
        <f t="shared" si="118"/>
        <v>60</v>
      </c>
      <c r="N751" s="36">
        <v>731</v>
      </c>
      <c r="O751" s="91">
        <f t="shared" si="114"/>
        <v>0</v>
      </c>
      <c r="P751" s="38">
        <f t="shared" si="115"/>
        <v>0</v>
      </c>
      <c r="W751" s="26">
        <f t="shared" si="116"/>
        <v>0</v>
      </c>
      <c r="AA751" s="63">
        <f t="shared" si="117"/>
        <v>0</v>
      </c>
    </row>
    <row r="752" spans="12:27" hidden="1" x14ac:dyDescent="0.25">
      <c r="L752" s="2">
        <f t="shared" si="119"/>
        <v>5</v>
      </c>
      <c r="M752" s="45">
        <f t="shared" si="118"/>
        <v>60</v>
      </c>
      <c r="N752" s="36">
        <v>732</v>
      </c>
      <c r="O752" s="91">
        <f t="shared" si="114"/>
        <v>0</v>
      </c>
      <c r="P752" s="38">
        <f t="shared" si="115"/>
        <v>0</v>
      </c>
      <c r="W752" s="26">
        <f t="shared" si="116"/>
        <v>0</v>
      </c>
      <c r="AA752" s="63">
        <f t="shared" si="117"/>
        <v>0</v>
      </c>
    </row>
    <row r="753" spans="12:27" hidden="1" x14ac:dyDescent="0.25">
      <c r="L753" s="2" t="str">
        <f t="shared" si="119"/>
        <v/>
      </c>
      <c r="M753" s="45">
        <f t="shared" si="118"/>
        <v>61</v>
      </c>
      <c r="N753" s="36">
        <v>733</v>
      </c>
      <c r="O753" s="91">
        <f t="shared" si="114"/>
        <v>0</v>
      </c>
      <c r="P753" s="38">
        <f t="shared" si="115"/>
        <v>0</v>
      </c>
      <c r="W753" s="26">
        <f t="shared" si="116"/>
        <v>0</v>
      </c>
      <c r="AA753" s="63">
        <f t="shared" si="117"/>
        <v>0</v>
      </c>
    </row>
    <row r="754" spans="12:27" hidden="1" x14ac:dyDescent="0.25">
      <c r="L754" s="2" t="str">
        <f t="shared" si="119"/>
        <v/>
      </c>
      <c r="M754" s="45">
        <f t="shared" si="118"/>
        <v>61</v>
      </c>
      <c r="N754" s="36">
        <v>734</v>
      </c>
      <c r="O754" s="91">
        <f t="shared" si="114"/>
        <v>0</v>
      </c>
      <c r="P754" s="38">
        <f t="shared" si="115"/>
        <v>0</v>
      </c>
      <c r="W754" s="26">
        <f t="shared" si="116"/>
        <v>0</v>
      </c>
      <c r="AA754" s="63">
        <f t="shared" si="117"/>
        <v>0</v>
      </c>
    </row>
    <row r="755" spans="12:27" hidden="1" x14ac:dyDescent="0.25">
      <c r="L755" s="2" t="str">
        <f t="shared" si="119"/>
        <v/>
      </c>
      <c r="M755" s="45">
        <f t="shared" si="118"/>
        <v>61</v>
      </c>
      <c r="N755" s="36">
        <v>735</v>
      </c>
      <c r="O755" s="91">
        <f t="shared" si="114"/>
        <v>0</v>
      </c>
      <c r="P755" s="38">
        <f t="shared" si="115"/>
        <v>0</v>
      </c>
      <c r="W755" s="26">
        <f t="shared" si="116"/>
        <v>0</v>
      </c>
      <c r="AA755" s="63">
        <f t="shared" si="117"/>
        <v>0</v>
      </c>
    </row>
    <row r="756" spans="12:27" hidden="1" x14ac:dyDescent="0.25">
      <c r="L756" s="2" t="str">
        <f t="shared" si="119"/>
        <v/>
      </c>
      <c r="M756" s="45">
        <f t="shared" si="118"/>
        <v>61</v>
      </c>
      <c r="N756" s="36">
        <v>736</v>
      </c>
      <c r="O756" s="91">
        <f t="shared" si="114"/>
        <v>0</v>
      </c>
      <c r="P756" s="38">
        <f t="shared" si="115"/>
        <v>0</v>
      </c>
      <c r="W756" s="26">
        <f t="shared" si="116"/>
        <v>0</v>
      </c>
      <c r="AA756" s="63">
        <f t="shared" si="117"/>
        <v>0</v>
      </c>
    </row>
    <row r="757" spans="12:27" hidden="1" x14ac:dyDescent="0.25">
      <c r="L757" s="2" t="str">
        <f t="shared" si="119"/>
        <v/>
      </c>
      <c r="M757" s="45">
        <f t="shared" si="118"/>
        <v>61</v>
      </c>
      <c r="N757" s="36">
        <v>737</v>
      </c>
      <c r="O757" s="91">
        <f t="shared" si="114"/>
        <v>0</v>
      </c>
      <c r="P757" s="38">
        <f t="shared" si="115"/>
        <v>0</v>
      </c>
      <c r="W757" s="26">
        <f t="shared" si="116"/>
        <v>0</v>
      </c>
      <c r="AA757" s="63">
        <f t="shared" si="117"/>
        <v>0</v>
      </c>
    </row>
    <row r="758" spans="12:27" hidden="1" x14ac:dyDescent="0.25">
      <c r="L758" s="2" t="str">
        <f t="shared" si="119"/>
        <v/>
      </c>
      <c r="M758" s="45">
        <f t="shared" si="118"/>
        <v>61</v>
      </c>
      <c r="N758" s="36">
        <v>738</v>
      </c>
      <c r="O758" s="91">
        <f t="shared" si="114"/>
        <v>0</v>
      </c>
      <c r="P758" s="38">
        <f t="shared" si="115"/>
        <v>0</v>
      </c>
      <c r="W758" s="26">
        <f t="shared" si="116"/>
        <v>0</v>
      </c>
      <c r="AA758" s="63">
        <f t="shared" si="117"/>
        <v>0</v>
      </c>
    </row>
    <row r="759" spans="12:27" hidden="1" x14ac:dyDescent="0.25">
      <c r="L759" s="2" t="str">
        <f t="shared" si="119"/>
        <v/>
      </c>
      <c r="M759" s="45">
        <f t="shared" si="118"/>
        <v>61</v>
      </c>
      <c r="N759" s="36">
        <v>739</v>
      </c>
      <c r="O759" s="91">
        <f t="shared" si="114"/>
        <v>0</v>
      </c>
      <c r="P759" s="38">
        <f t="shared" si="115"/>
        <v>0</v>
      </c>
      <c r="W759" s="26">
        <f t="shared" si="116"/>
        <v>0</v>
      </c>
      <c r="AA759" s="63">
        <f t="shared" si="117"/>
        <v>0</v>
      </c>
    </row>
    <row r="760" spans="12:27" hidden="1" x14ac:dyDescent="0.25">
      <c r="L760" s="2" t="str">
        <f t="shared" si="119"/>
        <v/>
      </c>
      <c r="M760" s="45">
        <f t="shared" si="118"/>
        <v>61</v>
      </c>
      <c r="N760" s="36">
        <v>740</v>
      </c>
      <c r="O760" s="91">
        <f t="shared" si="114"/>
        <v>0</v>
      </c>
      <c r="P760" s="38">
        <f t="shared" si="115"/>
        <v>0</v>
      </c>
      <c r="W760" s="26">
        <f t="shared" si="116"/>
        <v>0</v>
      </c>
      <c r="AA760" s="63">
        <f t="shared" si="117"/>
        <v>0</v>
      </c>
    </row>
    <row r="761" spans="12:27" hidden="1" x14ac:dyDescent="0.25">
      <c r="L761" s="2" t="str">
        <f t="shared" si="119"/>
        <v/>
      </c>
      <c r="M761" s="45">
        <f t="shared" si="118"/>
        <v>61</v>
      </c>
      <c r="N761" s="36">
        <v>741</v>
      </c>
      <c r="O761" s="91">
        <f t="shared" si="114"/>
        <v>0</v>
      </c>
      <c r="P761" s="38">
        <f t="shared" si="115"/>
        <v>0</v>
      </c>
      <c r="W761" s="26">
        <f t="shared" si="116"/>
        <v>0</v>
      </c>
      <c r="AA761" s="63">
        <f t="shared" si="117"/>
        <v>0</v>
      </c>
    </row>
    <row r="762" spans="12:27" hidden="1" x14ac:dyDescent="0.25">
      <c r="L762" s="2" t="str">
        <f t="shared" si="119"/>
        <v/>
      </c>
      <c r="M762" s="45">
        <f t="shared" si="118"/>
        <v>61</v>
      </c>
      <c r="N762" s="36">
        <v>742</v>
      </c>
      <c r="O762" s="91">
        <f t="shared" si="114"/>
        <v>0</v>
      </c>
      <c r="P762" s="38">
        <f t="shared" si="115"/>
        <v>0</v>
      </c>
      <c r="W762" s="26">
        <f t="shared" si="116"/>
        <v>0</v>
      </c>
      <c r="AA762" s="63">
        <f t="shared" si="117"/>
        <v>0</v>
      </c>
    </row>
    <row r="763" spans="12:27" hidden="1" x14ac:dyDescent="0.25">
      <c r="L763" s="2" t="str">
        <f t="shared" si="119"/>
        <v/>
      </c>
      <c r="M763" s="45">
        <f t="shared" si="118"/>
        <v>61</v>
      </c>
      <c r="N763" s="36">
        <v>743</v>
      </c>
      <c r="O763" s="91">
        <f t="shared" si="114"/>
        <v>0</v>
      </c>
      <c r="P763" s="38">
        <f t="shared" si="115"/>
        <v>0</v>
      </c>
      <c r="W763" s="26">
        <f t="shared" si="116"/>
        <v>0</v>
      </c>
      <c r="AA763" s="63">
        <f t="shared" si="117"/>
        <v>0</v>
      </c>
    </row>
    <row r="764" spans="12:27" hidden="1" x14ac:dyDescent="0.25">
      <c r="L764" s="2" t="str">
        <f t="shared" si="119"/>
        <v/>
      </c>
      <c r="M764" s="45">
        <f t="shared" si="118"/>
        <v>61</v>
      </c>
      <c r="N764" s="36">
        <v>744</v>
      </c>
      <c r="O764" s="91">
        <f t="shared" si="114"/>
        <v>0</v>
      </c>
      <c r="P764" s="38">
        <f t="shared" si="115"/>
        <v>0</v>
      </c>
      <c r="W764" s="26">
        <f t="shared" si="116"/>
        <v>0</v>
      </c>
      <c r="AA764" s="63">
        <f t="shared" si="117"/>
        <v>0</v>
      </c>
    </row>
    <row r="765" spans="12:27" hidden="1" x14ac:dyDescent="0.25">
      <c r="L765" s="2" t="str">
        <f t="shared" si="119"/>
        <v/>
      </c>
      <c r="M765" s="45">
        <f t="shared" si="118"/>
        <v>62</v>
      </c>
      <c r="N765" s="36">
        <v>745</v>
      </c>
      <c r="O765" s="91">
        <f t="shared" si="114"/>
        <v>0</v>
      </c>
      <c r="P765" s="38">
        <f t="shared" si="115"/>
        <v>0</v>
      </c>
      <c r="W765" s="26">
        <f t="shared" si="116"/>
        <v>0</v>
      </c>
      <c r="AA765" s="63">
        <f t="shared" si="117"/>
        <v>0</v>
      </c>
    </row>
    <row r="766" spans="12:27" hidden="1" x14ac:dyDescent="0.25">
      <c r="L766" s="2" t="str">
        <f t="shared" si="119"/>
        <v/>
      </c>
      <c r="M766" s="45">
        <f t="shared" si="118"/>
        <v>62</v>
      </c>
      <c r="N766" s="36">
        <v>746</v>
      </c>
      <c r="O766" s="91">
        <f t="shared" si="114"/>
        <v>0</v>
      </c>
      <c r="P766" s="38">
        <f t="shared" si="115"/>
        <v>0</v>
      </c>
      <c r="W766" s="26">
        <f t="shared" si="116"/>
        <v>0</v>
      </c>
      <c r="AA766" s="63">
        <f t="shared" si="117"/>
        <v>0</v>
      </c>
    </row>
    <row r="767" spans="12:27" hidden="1" x14ac:dyDescent="0.25">
      <c r="L767" s="2" t="str">
        <f t="shared" si="119"/>
        <v/>
      </c>
      <c r="M767" s="45">
        <f t="shared" si="118"/>
        <v>62</v>
      </c>
      <c r="N767" s="36">
        <v>747</v>
      </c>
      <c r="O767" s="91">
        <f t="shared" si="114"/>
        <v>0</v>
      </c>
      <c r="P767" s="38">
        <f t="shared" si="115"/>
        <v>0</v>
      </c>
      <c r="W767" s="26">
        <f t="shared" si="116"/>
        <v>0</v>
      </c>
      <c r="AA767" s="63">
        <f t="shared" si="117"/>
        <v>0</v>
      </c>
    </row>
    <row r="768" spans="12:27" hidden="1" x14ac:dyDescent="0.25">
      <c r="L768" s="2" t="str">
        <f t="shared" si="119"/>
        <v/>
      </c>
      <c r="M768" s="45">
        <f t="shared" si="118"/>
        <v>62</v>
      </c>
      <c r="N768" s="36">
        <v>748</v>
      </c>
      <c r="O768" s="91">
        <f t="shared" si="114"/>
        <v>0</v>
      </c>
      <c r="P768" s="38">
        <f t="shared" si="115"/>
        <v>0</v>
      </c>
      <c r="W768" s="26">
        <f t="shared" si="116"/>
        <v>0</v>
      </c>
      <c r="AA768" s="63">
        <f t="shared" si="117"/>
        <v>0</v>
      </c>
    </row>
    <row r="769" spans="12:27" hidden="1" x14ac:dyDescent="0.25">
      <c r="L769" s="2" t="str">
        <f t="shared" si="119"/>
        <v/>
      </c>
      <c r="M769" s="45">
        <f t="shared" si="118"/>
        <v>62</v>
      </c>
      <c r="N769" s="36">
        <v>749</v>
      </c>
      <c r="O769" s="91">
        <f t="shared" si="114"/>
        <v>0</v>
      </c>
      <c r="P769" s="38">
        <f t="shared" si="115"/>
        <v>0</v>
      </c>
      <c r="W769" s="26">
        <f t="shared" si="116"/>
        <v>0</v>
      </c>
      <c r="AA769" s="63">
        <f t="shared" si="117"/>
        <v>0</v>
      </c>
    </row>
    <row r="770" spans="12:27" hidden="1" x14ac:dyDescent="0.25">
      <c r="L770" s="2" t="str">
        <f t="shared" si="119"/>
        <v/>
      </c>
      <c r="M770" s="45">
        <f t="shared" si="118"/>
        <v>62</v>
      </c>
      <c r="N770" s="36">
        <v>750</v>
      </c>
      <c r="O770" s="91">
        <f t="shared" si="114"/>
        <v>0</v>
      </c>
      <c r="P770" s="38">
        <f t="shared" si="115"/>
        <v>0</v>
      </c>
      <c r="W770" s="26">
        <f t="shared" si="116"/>
        <v>0</v>
      </c>
      <c r="AA770" s="63">
        <f t="shared" si="117"/>
        <v>0</v>
      </c>
    </row>
    <row r="771" spans="12:27" hidden="1" x14ac:dyDescent="0.25">
      <c r="L771" s="2" t="str">
        <f t="shared" si="119"/>
        <v/>
      </c>
      <c r="M771" s="45">
        <f t="shared" si="118"/>
        <v>62</v>
      </c>
      <c r="N771" s="36">
        <v>751</v>
      </c>
      <c r="O771" s="91">
        <f t="shared" si="114"/>
        <v>0</v>
      </c>
      <c r="P771" s="38">
        <f t="shared" si="115"/>
        <v>0</v>
      </c>
      <c r="W771" s="26">
        <f t="shared" si="116"/>
        <v>0</v>
      </c>
      <c r="AA771" s="63">
        <f t="shared" si="117"/>
        <v>0</v>
      </c>
    </row>
    <row r="772" spans="12:27" hidden="1" x14ac:dyDescent="0.25">
      <c r="L772" s="2" t="str">
        <f t="shared" si="119"/>
        <v/>
      </c>
      <c r="M772" s="45">
        <f t="shared" si="118"/>
        <v>62</v>
      </c>
      <c r="N772" s="36">
        <v>752</v>
      </c>
      <c r="O772" s="91">
        <f t="shared" si="114"/>
        <v>0</v>
      </c>
      <c r="P772" s="38">
        <f t="shared" si="115"/>
        <v>0</v>
      </c>
      <c r="W772" s="26">
        <f t="shared" si="116"/>
        <v>0</v>
      </c>
      <c r="AA772" s="63">
        <f t="shared" si="117"/>
        <v>0</v>
      </c>
    </row>
    <row r="773" spans="12:27" hidden="1" x14ac:dyDescent="0.25">
      <c r="L773" s="2" t="str">
        <f t="shared" si="119"/>
        <v/>
      </c>
      <c r="M773" s="45">
        <f t="shared" si="118"/>
        <v>62</v>
      </c>
      <c r="N773" s="36">
        <v>753</v>
      </c>
      <c r="O773" s="91">
        <f t="shared" si="114"/>
        <v>0</v>
      </c>
      <c r="P773" s="38">
        <f t="shared" si="115"/>
        <v>0</v>
      </c>
      <c r="W773" s="26">
        <f t="shared" si="116"/>
        <v>0</v>
      </c>
      <c r="AA773" s="63">
        <f t="shared" si="117"/>
        <v>0</v>
      </c>
    </row>
    <row r="774" spans="12:27" hidden="1" x14ac:dyDescent="0.25">
      <c r="L774" s="2" t="str">
        <f t="shared" si="119"/>
        <v/>
      </c>
      <c r="M774" s="45">
        <f t="shared" si="118"/>
        <v>62</v>
      </c>
      <c r="N774" s="36">
        <v>754</v>
      </c>
      <c r="O774" s="91">
        <f t="shared" si="114"/>
        <v>0</v>
      </c>
      <c r="P774" s="38">
        <f t="shared" si="115"/>
        <v>0</v>
      </c>
      <c r="W774" s="26">
        <f t="shared" si="116"/>
        <v>0</v>
      </c>
      <c r="AA774" s="63">
        <f t="shared" si="117"/>
        <v>0</v>
      </c>
    </row>
    <row r="775" spans="12:27" hidden="1" x14ac:dyDescent="0.25">
      <c r="L775" s="2" t="str">
        <f t="shared" si="119"/>
        <v/>
      </c>
      <c r="M775" s="45">
        <f t="shared" si="118"/>
        <v>62</v>
      </c>
      <c r="N775" s="36">
        <v>755</v>
      </c>
      <c r="O775" s="91">
        <f t="shared" si="114"/>
        <v>0</v>
      </c>
      <c r="P775" s="38">
        <f t="shared" si="115"/>
        <v>0</v>
      </c>
      <c r="W775" s="26">
        <f t="shared" si="116"/>
        <v>0</v>
      </c>
      <c r="AA775" s="63">
        <f t="shared" si="117"/>
        <v>0</v>
      </c>
    </row>
    <row r="776" spans="12:27" hidden="1" x14ac:dyDescent="0.25">
      <c r="L776" s="2" t="str">
        <f t="shared" si="119"/>
        <v/>
      </c>
      <c r="M776" s="45">
        <f t="shared" si="118"/>
        <v>62</v>
      </c>
      <c r="N776" s="36">
        <v>756</v>
      </c>
      <c r="O776" s="91">
        <f t="shared" si="114"/>
        <v>0</v>
      </c>
      <c r="P776" s="38">
        <f t="shared" si="115"/>
        <v>0</v>
      </c>
      <c r="W776" s="26">
        <f t="shared" si="116"/>
        <v>0</v>
      </c>
      <c r="AA776" s="63">
        <f t="shared" si="117"/>
        <v>0</v>
      </c>
    </row>
    <row r="777" spans="12:27" hidden="1" x14ac:dyDescent="0.25">
      <c r="L777" s="2" t="str">
        <f t="shared" si="119"/>
        <v/>
      </c>
      <c r="M777" s="45">
        <f t="shared" si="118"/>
        <v>63</v>
      </c>
      <c r="N777" s="36">
        <v>757</v>
      </c>
      <c r="O777" s="91">
        <f t="shared" si="114"/>
        <v>0</v>
      </c>
      <c r="P777" s="38">
        <f t="shared" si="115"/>
        <v>0</v>
      </c>
      <c r="W777" s="26">
        <f t="shared" si="116"/>
        <v>0</v>
      </c>
      <c r="AA777" s="63">
        <f t="shared" si="117"/>
        <v>0</v>
      </c>
    </row>
    <row r="778" spans="12:27" hidden="1" x14ac:dyDescent="0.25">
      <c r="L778" s="2" t="str">
        <f t="shared" si="119"/>
        <v/>
      </c>
      <c r="M778" s="45">
        <f t="shared" si="118"/>
        <v>63</v>
      </c>
      <c r="N778" s="36">
        <v>758</v>
      </c>
      <c r="O778" s="91">
        <f t="shared" si="114"/>
        <v>0</v>
      </c>
      <c r="P778" s="38">
        <f t="shared" si="115"/>
        <v>0</v>
      </c>
      <c r="W778" s="26">
        <f t="shared" si="116"/>
        <v>0</v>
      </c>
      <c r="AA778" s="63">
        <f t="shared" si="117"/>
        <v>0</v>
      </c>
    </row>
    <row r="779" spans="12:27" hidden="1" x14ac:dyDescent="0.25">
      <c r="L779" s="2" t="str">
        <f t="shared" si="119"/>
        <v/>
      </c>
      <c r="M779" s="45">
        <f t="shared" si="118"/>
        <v>63</v>
      </c>
      <c r="N779" s="36">
        <v>759</v>
      </c>
      <c r="O779" s="91">
        <f t="shared" si="114"/>
        <v>0</v>
      </c>
      <c r="P779" s="38">
        <f t="shared" si="115"/>
        <v>0</v>
      </c>
      <c r="W779" s="26">
        <f t="shared" si="116"/>
        <v>0</v>
      </c>
      <c r="AA779" s="63">
        <f t="shared" si="117"/>
        <v>0</v>
      </c>
    </row>
    <row r="780" spans="12:27" hidden="1" x14ac:dyDescent="0.25">
      <c r="L780" s="2" t="str">
        <f t="shared" si="119"/>
        <v/>
      </c>
      <c r="M780" s="45">
        <f t="shared" si="118"/>
        <v>63</v>
      </c>
      <c r="N780" s="36">
        <v>760</v>
      </c>
      <c r="O780" s="91">
        <f t="shared" si="114"/>
        <v>0</v>
      </c>
      <c r="P780" s="38">
        <f t="shared" si="115"/>
        <v>0</v>
      </c>
      <c r="W780" s="26">
        <f t="shared" si="116"/>
        <v>0</v>
      </c>
      <c r="AA780" s="63">
        <f t="shared" si="117"/>
        <v>0</v>
      </c>
    </row>
    <row r="781" spans="12:27" hidden="1" x14ac:dyDescent="0.25">
      <c r="L781" s="2" t="str">
        <f t="shared" si="119"/>
        <v/>
      </c>
      <c r="M781" s="45">
        <f t="shared" si="118"/>
        <v>63</v>
      </c>
      <c r="N781" s="36">
        <v>761</v>
      </c>
      <c r="O781" s="91">
        <f t="shared" si="114"/>
        <v>0</v>
      </c>
      <c r="P781" s="38">
        <f t="shared" si="115"/>
        <v>0</v>
      </c>
      <c r="W781" s="26">
        <f t="shared" si="116"/>
        <v>0</v>
      </c>
      <c r="AA781" s="63">
        <f t="shared" si="117"/>
        <v>0</v>
      </c>
    </row>
    <row r="782" spans="12:27" hidden="1" x14ac:dyDescent="0.25">
      <c r="L782" s="2" t="str">
        <f t="shared" si="119"/>
        <v/>
      </c>
      <c r="M782" s="45">
        <f t="shared" si="118"/>
        <v>63</v>
      </c>
      <c r="N782" s="36">
        <v>762</v>
      </c>
      <c r="O782" s="91">
        <f t="shared" si="114"/>
        <v>0</v>
      </c>
      <c r="P782" s="38">
        <f t="shared" si="115"/>
        <v>0</v>
      </c>
      <c r="W782" s="26">
        <f t="shared" si="116"/>
        <v>0</v>
      </c>
      <c r="AA782" s="63">
        <f t="shared" si="117"/>
        <v>0</v>
      </c>
    </row>
    <row r="783" spans="12:27" hidden="1" x14ac:dyDescent="0.25">
      <c r="L783" s="2" t="str">
        <f t="shared" si="119"/>
        <v/>
      </c>
      <c r="M783" s="45">
        <f t="shared" si="118"/>
        <v>63</v>
      </c>
      <c r="N783" s="36">
        <v>763</v>
      </c>
      <c r="O783" s="91">
        <f t="shared" si="114"/>
        <v>0</v>
      </c>
      <c r="P783" s="38">
        <f t="shared" si="115"/>
        <v>0</v>
      </c>
      <c r="W783" s="26">
        <f t="shared" si="116"/>
        <v>0</v>
      </c>
      <c r="AA783" s="63">
        <f t="shared" si="117"/>
        <v>0</v>
      </c>
    </row>
    <row r="784" spans="12:27" hidden="1" x14ac:dyDescent="0.25">
      <c r="L784" s="2" t="str">
        <f t="shared" si="119"/>
        <v/>
      </c>
      <c r="M784" s="45">
        <f t="shared" si="118"/>
        <v>63</v>
      </c>
      <c r="N784" s="36">
        <v>764</v>
      </c>
      <c r="O784" s="91">
        <f t="shared" si="114"/>
        <v>0</v>
      </c>
      <c r="P784" s="38">
        <f t="shared" si="115"/>
        <v>0</v>
      </c>
      <c r="W784" s="26">
        <f t="shared" si="116"/>
        <v>0</v>
      </c>
      <c r="AA784" s="63">
        <f t="shared" si="117"/>
        <v>0</v>
      </c>
    </row>
    <row r="785" spans="12:27" hidden="1" x14ac:dyDescent="0.25">
      <c r="L785" s="2" t="str">
        <f t="shared" si="119"/>
        <v/>
      </c>
      <c r="M785" s="45">
        <f t="shared" si="118"/>
        <v>63</v>
      </c>
      <c r="N785" s="36">
        <v>765</v>
      </c>
      <c r="O785" s="91">
        <f t="shared" si="114"/>
        <v>0</v>
      </c>
      <c r="P785" s="38">
        <f t="shared" si="115"/>
        <v>0</v>
      </c>
      <c r="W785" s="26">
        <f t="shared" si="116"/>
        <v>0</v>
      </c>
      <c r="AA785" s="63">
        <f t="shared" si="117"/>
        <v>0</v>
      </c>
    </row>
    <row r="786" spans="12:27" hidden="1" x14ac:dyDescent="0.25">
      <c r="L786" s="2" t="str">
        <f t="shared" si="119"/>
        <v/>
      </c>
      <c r="M786" s="45">
        <f t="shared" si="118"/>
        <v>63</v>
      </c>
      <c r="N786" s="36">
        <v>766</v>
      </c>
      <c r="O786" s="91">
        <f t="shared" si="114"/>
        <v>0</v>
      </c>
      <c r="P786" s="38">
        <f t="shared" si="115"/>
        <v>0</v>
      </c>
      <c r="W786" s="26">
        <f t="shared" si="116"/>
        <v>0</v>
      </c>
      <c r="AA786" s="63">
        <f t="shared" si="117"/>
        <v>0</v>
      </c>
    </row>
    <row r="787" spans="12:27" hidden="1" x14ac:dyDescent="0.25">
      <c r="L787" s="2" t="str">
        <f t="shared" si="119"/>
        <v/>
      </c>
      <c r="M787" s="45">
        <f t="shared" si="118"/>
        <v>63</v>
      </c>
      <c r="N787" s="36">
        <v>767</v>
      </c>
      <c r="O787" s="91">
        <f t="shared" si="114"/>
        <v>0</v>
      </c>
      <c r="P787" s="38">
        <f t="shared" si="115"/>
        <v>0</v>
      </c>
      <c r="W787" s="26">
        <f t="shared" si="116"/>
        <v>0</v>
      </c>
      <c r="AA787" s="63">
        <f t="shared" si="117"/>
        <v>0</v>
      </c>
    </row>
    <row r="788" spans="12:27" hidden="1" x14ac:dyDescent="0.25">
      <c r="L788" s="2" t="str">
        <f t="shared" si="119"/>
        <v/>
      </c>
      <c r="M788" s="45">
        <f t="shared" si="118"/>
        <v>63</v>
      </c>
      <c r="N788" s="36">
        <v>768</v>
      </c>
      <c r="O788" s="91">
        <f t="shared" si="114"/>
        <v>0</v>
      </c>
      <c r="P788" s="38">
        <f t="shared" si="115"/>
        <v>0</v>
      </c>
      <c r="W788" s="26">
        <f t="shared" si="116"/>
        <v>0</v>
      </c>
      <c r="AA788" s="63">
        <f t="shared" si="117"/>
        <v>0</v>
      </c>
    </row>
    <row r="789" spans="12:27" hidden="1" x14ac:dyDescent="0.25">
      <c r="L789" s="2" t="str">
        <f t="shared" si="119"/>
        <v/>
      </c>
      <c r="M789" s="45">
        <f t="shared" si="118"/>
        <v>64</v>
      </c>
      <c r="N789" s="36">
        <v>769</v>
      </c>
      <c r="O789" s="91">
        <f t="shared" ref="O789:O852" si="120">IF(N789&lt;=InvMonths,SU_Amt*(1+GRate)^M789,0)</f>
        <v>0</v>
      </c>
      <c r="P789" s="38">
        <f t="shared" ref="P789:P852" si="121">FV(SIPRate,InvMonths-N789+1,0,-O789,1)</f>
        <v>0</v>
      </c>
      <c r="W789" s="26">
        <f t="shared" ref="W789:W852" si="122">IF(N789&lt;=InvMonths,$X$18,0)</f>
        <v>0</v>
      </c>
      <c r="AA789" s="63">
        <f t="shared" ref="AA789:AA852" si="123">IF(N789&lt;=InvMonths,$AB$18*(1+$C$32)^M789,0)</f>
        <v>0</v>
      </c>
    </row>
    <row r="790" spans="12:27" hidden="1" x14ac:dyDescent="0.25">
      <c r="L790" s="2" t="str">
        <f t="shared" si="119"/>
        <v/>
      </c>
      <c r="M790" s="45">
        <f t="shared" ref="M790:M853" si="124">IF(MOD(N790,12)=0,(N790/12)-1,QUOTIENT(N790,12))</f>
        <v>64</v>
      </c>
      <c r="N790" s="36">
        <v>770</v>
      </c>
      <c r="O790" s="91">
        <f t="shared" si="120"/>
        <v>0</v>
      </c>
      <c r="P790" s="38">
        <f t="shared" si="121"/>
        <v>0</v>
      </c>
      <c r="W790" s="26">
        <f t="shared" si="122"/>
        <v>0</v>
      </c>
      <c r="AA790" s="63">
        <f t="shared" si="123"/>
        <v>0</v>
      </c>
    </row>
    <row r="791" spans="12:27" hidden="1" x14ac:dyDescent="0.25">
      <c r="L791" s="2" t="str">
        <f t="shared" si="119"/>
        <v/>
      </c>
      <c r="M791" s="45">
        <f t="shared" si="124"/>
        <v>64</v>
      </c>
      <c r="N791" s="36">
        <v>771</v>
      </c>
      <c r="O791" s="91">
        <f t="shared" si="120"/>
        <v>0</v>
      </c>
      <c r="P791" s="38">
        <f t="shared" si="121"/>
        <v>0</v>
      </c>
      <c r="W791" s="26">
        <f t="shared" si="122"/>
        <v>0</v>
      </c>
      <c r="AA791" s="63">
        <f t="shared" si="123"/>
        <v>0</v>
      </c>
    </row>
    <row r="792" spans="12:27" hidden="1" x14ac:dyDescent="0.25">
      <c r="L792" s="2" t="str">
        <f t="shared" si="119"/>
        <v/>
      </c>
      <c r="M792" s="45">
        <f t="shared" si="124"/>
        <v>64</v>
      </c>
      <c r="N792" s="36">
        <v>772</v>
      </c>
      <c r="O792" s="91">
        <f t="shared" si="120"/>
        <v>0</v>
      </c>
      <c r="P792" s="38">
        <f t="shared" si="121"/>
        <v>0</v>
      </c>
      <c r="W792" s="26">
        <f t="shared" si="122"/>
        <v>0</v>
      </c>
      <c r="AA792" s="63">
        <f t="shared" si="123"/>
        <v>0</v>
      </c>
    </row>
    <row r="793" spans="12:27" hidden="1" x14ac:dyDescent="0.25">
      <c r="L793" s="2" t="str">
        <f t="shared" si="119"/>
        <v/>
      </c>
      <c r="M793" s="45">
        <f t="shared" si="124"/>
        <v>64</v>
      </c>
      <c r="N793" s="36">
        <v>773</v>
      </c>
      <c r="O793" s="91">
        <f t="shared" si="120"/>
        <v>0</v>
      </c>
      <c r="P793" s="38">
        <f t="shared" si="121"/>
        <v>0</v>
      </c>
      <c r="W793" s="26">
        <f t="shared" si="122"/>
        <v>0</v>
      </c>
      <c r="AA793" s="63">
        <f t="shared" si="123"/>
        <v>0</v>
      </c>
    </row>
    <row r="794" spans="12:27" hidden="1" x14ac:dyDescent="0.25">
      <c r="L794" s="2" t="str">
        <f t="shared" si="119"/>
        <v/>
      </c>
      <c r="M794" s="45">
        <f t="shared" si="124"/>
        <v>64</v>
      </c>
      <c r="N794" s="36">
        <v>774</v>
      </c>
      <c r="O794" s="91">
        <f t="shared" si="120"/>
        <v>0</v>
      </c>
      <c r="P794" s="38">
        <f t="shared" si="121"/>
        <v>0</v>
      </c>
      <c r="W794" s="26">
        <f t="shared" si="122"/>
        <v>0</v>
      </c>
      <c r="AA794" s="63">
        <f t="shared" si="123"/>
        <v>0</v>
      </c>
    </row>
    <row r="795" spans="12:27" hidden="1" x14ac:dyDescent="0.25">
      <c r="L795" s="2" t="str">
        <f t="shared" si="119"/>
        <v/>
      </c>
      <c r="M795" s="45">
        <f t="shared" si="124"/>
        <v>64</v>
      </c>
      <c r="N795" s="36">
        <v>775</v>
      </c>
      <c r="O795" s="91">
        <f t="shared" si="120"/>
        <v>0</v>
      </c>
      <c r="P795" s="38">
        <f t="shared" si="121"/>
        <v>0</v>
      </c>
      <c r="W795" s="26">
        <f t="shared" si="122"/>
        <v>0</v>
      </c>
      <c r="AA795" s="63">
        <f t="shared" si="123"/>
        <v>0</v>
      </c>
    </row>
    <row r="796" spans="12:27" hidden="1" x14ac:dyDescent="0.25">
      <c r="L796" s="2" t="str">
        <f t="shared" si="119"/>
        <v/>
      </c>
      <c r="M796" s="45">
        <f t="shared" si="124"/>
        <v>64</v>
      </c>
      <c r="N796" s="36">
        <v>776</v>
      </c>
      <c r="O796" s="91">
        <f t="shared" si="120"/>
        <v>0</v>
      </c>
      <c r="P796" s="38">
        <f t="shared" si="121"/>
        <v>0</v>
      </c>
      <c r="W796" s="26">
        <f t="shared" si="122"/>
        <v>0</v>
      </c>
      <c r="AA796" s="63">
        <f t="shared" si="123"/>
        <v>0</v>
      </c>
    </row>
    <row r="797" spans="12:27" hidden="1" x14ac:dyDescent="0.25">
      <c r="L797" s="2" t="str">
        <f t="shared" si="119"/>
        <v/>
      </c>
      <c r="M797" s="45">
        <f t="shared" si="124"/>
        <v>64</v>
      </c>
      <c r="N797" s="36">
        <v>777</v>
      </c>
      <c r="O797" s="91">
        <f t="shared" si="120"/>
        <v>0</v>
      </c>
      <c r="P797" s="38">
        <f t="shared" si="121"/>
        <v>0</v>
      </c>
      <c r="W797" s="26">
        <f t="shared" si="122"/>
        <v>0</v>
      </c>
      <c r="AA797" s="63">
        <f t="shared" si="123"/>
        <v>0</v>
      </c>
    </row>
    <row r="798" spans="12:27" hidden="1" x14ac:dyDescent="0.25">
      <c r="L798" s="2" t="str">
        <f t="shared" ref="L798:L861" si="125">IF(MOD(M798,12)=0,M798/12,"")</f>
        <v/>
      </c>
      <c r="M798" s="45">
        <f t="shared" si="124"/>
        <v>64</v>
      </c>
      <c r="N798" s="36">
        <v>778</v>
      </c>
      <c r="O798" s="91">
        <f t="shared" si="120"/>
        <v>0</v>
      </c>
      <c r="P798" s="38">
        <f t="shared" si="121"/>
        <v>0</v>
      </c>
      <c r="W798" s="26">
        <f t="shared" si="122"/>
        <v>0</v>
      </c>
      <c r="AA798" s="63">
        <f t="shared" si="123"/>
        <v>0</v>
      </c>
    </row>
    <row r="799" spans="12:27" hidden="1" x14ac:dyDescent="0.25">
      <c r="L799" s="2" t="str">
        <f t="shared" si="125"/>
        <v/>
      </c>
      <c r="M799" s="45">
        <f t="shared" si="124"/>
        <v>64</v>
      </c>
      <c r="N799" s="36">
        <v>779</v>
      </c>
      <c r="O799" s="91">
        <f t="shared" si="120"/>
        <v>0</v>
      </c>
      <c r="P799" s="38">
        <f t="shared" si="121"/>
        <v>0</v>
      </c>
      <c r="W799" s="26">
        <f t="shared" si="122"/>
        <v>0</v>
      </c>
      <c r="AA799" s="63">
        <f t="shared" si="123"/>
        <v>0</v>
      </c>
    </row>
    <row r="800" spans="12:27" hidden="1" x14ac:dyDescent="0.25">
      <c r="L800" s="2" t="str">
        <f t="shared" si="125"/>
        <v/>
      </c>
      <c r="M800" s="45">
        <f t="shared" si="124"/>
        <v>64</v>
      </c>
      <c r="N800" s="36">
        <v>780</v>
      </c>
      <c r="O800" s="91">
        <f t="shared" si="120"/>
        <v>0</v>
      </c>
      <c r="P800" s="38">
        <f t="shared" si="121"/>
        <v>0</v>
      </c>
      <c r="W800" s="26">
        <f t="shared" si="122"/>
        <v>0</v>
      </c>
      <c r="AA800" s="63">
        <f t="shared" si="123"/>
        <v>0</v>
      </c>
    </row>
    <row r="801" spans="12:27" hidden="1" x14ac:dyDescent="0.25">
      <c r="L801" s="2" t="str">
        <f t="shared" si="125"/>
        <v/>
      </c>
      <c r="M801" s="45">
        <f t="shared" si="124"/>
        <v>65</v>
      </c>
      <c r="N801" s="36">
        <v>781</v>
      </c>
      <c r="O801" s="91">
        <f t="shared" si="120"/>
        <v>0</v>
      </c>
      <c r="P801" s="38">
        <f t="shared" si="121"/>
        <v>0</v>
      </c>
      <c r="W801" s="26">
        <f t="shared" si="122"/>
        <v>0</v>
      </c>
      <c r="AA801" s="63">
        <f t="shared" si="123"/>
        <v>0</v>
      </c>
    </row>
    <row r="802" spans="12:27" hidden="1" x14ac:dyDescent="0.25">
      <c r="L802" s="2" t="str">
        <f t="shared" si="125"/>
        <v/>
      </c>
      <c r="M802" s="45">
        <f t="shared" si="124"/>
        <v>65</v>
      </c>
      <c r="N802" s="36">
        <v>782</v>
      </c>
      <c r="O802" s="91">
        <f t="shared" si="120"/>
        <v>0</v>
      </c>
      <c r="P802" s="38">
        <f t="shared" si="121"/>
        <v>0</v>
      </c>
      <c r="W802" s="26">
        <f t="shared" si="122"/>
        <v>0</v>
      </c>
      <c r="AA802" s="63">
        <f t="shared" si="123"/>
        <v>0</v>
      </c>
    </row>
    <row r="803" spans="12:27" hidden="1" x14ac:dyDescent="0.25">
      <c r="L803" s="2" t="str">
        <f t="shared" si="125"/>
        <v/>
      </c>
      <c r="M803" s="45">
        <f t="shared" si="124"/>
        <v>65</v>
      </c>
      <c r="N803" s="36">
        <v>783</v>
      </c>
      <c r="O803" s="91">
        <f t="shared" si="120"/>
        <v>0</v>
      </c>
      <c r="P803" s="38">
        <f t="shared" si="121"/>
        <v>0</v>
      </c>
      <c r="W803" s="26">
        <f t="shared" si="122"/>
        <v>0</v>
      </c>
      <c r="AA803" s="63">
        <f t="shared" si="123"/>
        <v>0</v>
      </c>
    </row>
    <row r="804" spans="12:27" hidden="1" x14ac:dyDescent="0.25">
      <c r="L804" s="2" t="str">
        <f t="shared" si="125"/>
        <v/>
      </c>
      <c r="M804" s="45">
        <f t="shared" si="124"/>
        <v>65</v>
      </c>
      <c r="N804" s="36">
        <v>784</v>
      </c>
      <c r="O804" s="91">
        <f t="shared" si="120"/>
        <v>0</v>
      </c>
      <c r="P804" s="38">
        <f t="shared" si="121"/>
        <v>0</v>
      </c>
      <c r="W804" s="26">
        <f t="shared" si="122"/>
        <v>0</v>
      </c>
      <c r="AA804" s="63">
        <f t="shared" si="123"/>
        <v>0</v>
      </c>
    </row>
    <row r="805" spans="12:27" hidden="1" x14ac:dyDescent="0.25">
      <c r="L805" s="2" t="str">
        <f t="shared" si="125"/>
        <v/>
      </c>
      <c r="M805" s="45">
        <f t="shared" si="124"/>
        <v>65</v>
      </c>
      <c r="N805" s="36">
        <v>785</v>
      </c>
      <c r="O805" s="91">
        <f t="shared" si="120"/>
        <v>0</v>
      </c>
      <c r="P805" s="38">
        <f t="shared" si="121"/>
        <v>0</v>
      </c>
      <c r="W805" s="26">
        <f t="shared" si="122"/>
        <v>0</v>
      </c>
      <c r="AA805" s="63">
        <f t="shared" si="123"/>
        <v>0</v>
      </c>
    </row>
    <row r="806" spans="12:27" hidden="1" x14ac:dyDescent="0.25">
      <c r="L806" s="2" t="str">
        <f t="shared" si="125"/>
        <v/>
      </c>
      <c r="M806" s="45">
        <f t="shared" si="124"/>
        <v>65</v>
      </c>
      <c r="N806" s="36">
        <v>786</v>
      </c>
      <c r="O806" s="91">
        <f t="shared" si="120"/>
        <v>0</v>
      </c>
      <c r="P806" s="38">
        <f t="shared" si="121"/>
        <v>0</v>
      </c>
      <c r="W806" s="26">
        <f t="shared" si="122"/>
        <v>0</v>
      </c>
      <c r="AA806" s="63">
        <f t="shared" si="123"/>
        <v>0</v>
      </c>
    </row>
    <row r="807" spans="12:27" hidden="1" x14ac:dyDescent="0.25">
      <c r="L807" s="2" t="str">
        <f t="shared" si="125"/>
        <v/>
      </c>
      <c r="M807" s="45">
        <f t="shared" si="124"/>
        <v>65</v>
      </c>
      <c r="N807" s="36">
        <v>787</v>
      </c>
      <c r="O807" s="91">
        <f t="shared" si="120"/>
        <v>0</v>
      </c>
      <c r="P807" s="38">
        <f t="shared" si="121"/>
        <v>0</v>
      </c>
      <c r="W807" s="26">
        <f t="shared" si="122"/>
        <v>0</v>
      </c>
      <c r="AA807" s="63">
        <f t="shared" si="123"/>
        <v>0</v>
      </c>
    </row>
    <row r="808" spans="12:27" hidden="1" x14ac:dyDescent="0.25">
      <c r="L808" s="2" t="str">
        <f t="shared" si="125"/>
        <v/>
      </c>
      <c r="M808" s="45">
        <f t="shared" si="124"/>
        <v>65</v>
      </c>
      <c r="N808" s="36">
        <v>788</v>
      </c>
      <c r="O808" s="91">
        <f t="shared" si="120"/>
        <v>0</v>
      </c>
      <c r="P808" s="38">
        <f t="shared" si="121"/>
        <v>0</v>
      </c>
      <c r="W808" s="26">
        <f t="shared" si="122"/>
        <v>0</v>
      </c>
      <c r="AA808" s="63">
        <f t="shared" si="123"/>
        <v>0</v>
      </c>
    </row>
    <row r="809" spans="12:27" hidden="1" x14ac:dyDescent="0.25">
      <c r="L809" s="2" t="str">
        <f t="shared" si="125"/>
        <v/>
      </c>
      <c r="M809" s="45">
        <f t="shared" si="124"/>
        <v>65</v>
      </c>
      <c r="N809" s="36">
        <v>789</v>
      </c>
      <c r="O809" s="91">
        <f t="shared" si="120"/>
        <v>0</v>
      </c>
      <c r="P809" s="38">
        <f t="shared" si="121"/>
        <v>0</v>
      </c>
      <c r="W809" s="26">
        <f t="shared" si="122"/>
        <v>0</v>
      </c>
      <c r="AA809" s="63">
        <f t="shared" si="123"/>
        <v>0</v>
      </c>
    </row>
    <row r="810" spans="12:27" hidden="1" x14ac:dyDescent="0.25">
      <c r="L810" s="2" t="str">
        <f t="shared" si="125"/>
        <v/>
      </c>
      <c r="M810" s="45">
        <f t="shared" si="124"/>
        <v>65</v>
      </c>
      <c r="N810" s="36">
        <v>790</v>
      </c>
      <c r="O810" s="91">
        <f t="shared" si="120"/>
        <v>0</v>
      </c>
      <c r="P810" s="38">
        <f t="shared" si="121"/>
        <v>0</v>
      </c>
      <c r="W810" s="26">
        <f t="shared" si="122"/>
        <v>0</v>
      </c>
      <c r="AA810" s="63">
        <f t="shared" si="123"/>
        <v>0</v>
      </c>
    </row>
    <row r="811" spans="12:27" hidden="1" x14ac:dyDescent="0.25">
      <c r="L811" s="2" t="str">
        <f t="shared" si="125"/>
        <v/>
      </c>
      <c r="M811" s="45">
        <f t="shared" si="124"/>
        <v>65</v>
      </c>
      <c r="N811" s="36">
        <v>791</v>
      </c>
      <c r="O811" s="91">
        <f t="shared" si="120"/>
        <v>0</v>
      </c>
      <c r="P811" s="38">
        <f t="shared" si="121"/>
        <v>0</v>
      </c>
      <c r="W811" s="26">
        <f t="shared" si="122"/>
        <v>0</v>
      </c>
      <c r="AA811" s="63">
        <f t="shared" si="123"/>
        <v>0</v>
      </c>
    </row>
    <row r="812" spans="12:27" hidden="1" x14ac:dyDescent="0.25">
      <c r="L812" s="2" t="str">
        <f t="shared" si="125"/>
        <v/>
      </c>
      <c r="M812" s="45">
        <f t="shared" si="124"/>
        <v>65</v>
      </c>
      <c r="N812" s="36">
        <v>792</v>
      </c>
      <c r="O812" s="91">
        <f t="shared" si="120"/>
        <v>0</v>
      </c>
      <c r="P812" s="38">
        <f t="shared" si="121"/>
        <v>0</v>
      </c>
      <c r="W812" s="26">
        <f t="shared" si="122"/>
        <v>0</v>
      </c>
      <c r="AA812" s="63">
        <f t="shared" si="123"/>
        <v>0</v>
      </c>
    </row>
    <row r="813" spans="12:27" hidden="1" x14ac:dyDescent="0.25">
      <c r="L813" s="2" t="str">
        <f t="shared" si="125"/>
        <v/>
      </c>
      <c r="M813" s="45">
        <f t="shared" si="124"/>
        <v>66</v>
      </c>
      <c r="N813" s="36">
        <v>793</v>
      </c>
      <c r="O813" s="91">
        <f t="shared" si="120"/>
        <v>0</v>
      </c>
      <c r="P813" s="38">
        <f t="shared" si="121"/>
        <v>0</v>
      </c>
      <c r="W813" s="26">
        <f t="shared" si="122"/>
        <v>0</v>
      </c>
      <c r="AA813" s="63">
        <f t="shared" si="123"/>
        <v>0</v>
      </c>
    </row>
    <row r="814" spans="12:27" hidden="1" x14ac:dyDescent="0.25">
      <c r="L814" s="2" t="str">
        <f t="shared" si="125"/>
        <v/>
      </c>
      <c r="M814" s="45">
        <f t="shared" si="124"/>
        <v>66</v>
      </c>
      <c r="N814" s="36">
        <v>794</v>
      </c>
      <c r="O814" s="91">
        <f t="shared" si="120"/>
        <v>0</v>
      </c>
      <c r="P814" s="38">
        <f t="shared" si="121"/>
        <v>0</v>
      </c>
      <c r="W814" s="26">
        <f t="shared" si="122"/>
        <v>0</v>
      </c>
      <c r="AA814" s="63">
        <f t="shared" si="123"/>
        <v>0</v>
      </c>
    </row>
    <row r="815" spans="12:27" hidden="1" x14ac:dyDescent="0.25">
      <c r="L815" s="2" t="str">
        <f t="shared" si="125"/>
        <v/>
      </c>
      <c r="M815" s="45">
        <f t="shared" si="124"/>
        <v>66</v>
      </c>
      <c r="N815" s="36">
        <v>795</v>
      </c>
      <c r="O815" s="91">
        <f t="shared" si="120"/>
        <v>0</v>
      </c>
      <c r="P815" s="38">
        <f t="shared" si="121"/>
        <v>0</v>
      </c>
      <c r="W815" s="26">
        <f t="shared" si="122"/>
        <v>0</v>
      </c>
      <c r="AA815" s="63">
        <f t="shared" si="123"/>
        <v>0</v>
      </c>
    </row>
    <row r="816" spans="12:27" hidden="1" x14ac:dyDescent="0.25">
      <c r="L816" s="2" t="str">
        <f t="shared" si="125"/>
        <v/>
      </c>
      <c r="M816" s="45">
        <f t="shared" si="124"/>
        <v>66</v>
      </c>
      <c r="N816" s="36">
        <v>796</v>
      </c>
      <c r="O816" s="91">
        <f t="shared" si="120"/>
        <v>0</v>
      </c>
      <c r="P816" s="38">
        <f t="shared" si="121"/>
        <v>0</v>
      </c>
      <c r="W816" s="26">
        <f t="shared" si="122"/>
        <v>0</v>
      </c>
      <c r="AA816" s="63">
        <f t="shared" si="123"/>
        <v>0</v>
      </c>
    </row>
    <row r="817" spans="12:27" hidden="1" x14ac:dyDescent="0.25">
      <c r="L817" s="2" t="str">
        <f t="shared" si="125"/>
        <v/>
      </c>
      <c r="M817" s="45">
        <f t="shared" si="124"/>
        <v>66</v>
      </c>
      <c r="N817" s="36">
        <v>797</v>
      </c>
      <c r="O817" s="91">
        <f t="shared" si="120"/>
        <v>0</v>
      </c>
      <c r="P817" s="38">
        <f t="shared" si="121"/>
        <v>0</v>
      </c>
      <c r="W817" s="26">
        <f t="shared" si="122"/>
        <v>0</v>
      </c>
      <c r="AA817" s="63">
        <f t="shared" si="123"/>
        <v>0</v>
      </c>
    </row>
    <row r="818" spans="12:27" hidden="1" x14ac:dyDescent="0.25">
      <c r="L818" s="2" t="str">
        <f t="shared" si="125"/>
        <v/>
      </c>
      <c r="M818" s="45">
        <f t="shared" si="124"/>
        <v>66</v>
      </c>
      <c r="N818" s="36">
        <v>798</v>
      </c>
      <c r="O818" s="91">
        <f t="shared" si="120"/>
        <v>0</v>
      </c>
      <c r="P818" s="38">
        <f t="shared" si="121"/>
        <v>0</v>
      </c>
      <c r="W818" s="26">
        <f t="shared" si="122"/>
        <v>0</v>
      </c>
      <c r="AA818" s="63">
        <f t="shared" si="123"/>
        <v>0</v>
      </c>
    </row>
    <row r="819" spans="12:27" hidden="1" x14ac:dyDescent="0.25">
      <c r="L819" s="2" t="str">
        <f t="shared" si="125"/>
        <v/>
      </c>
      <c r="M819" s="45">
        <f t="shared" si="124"/>
        <v>66</v>
      </c>
      <c r="N819" s="36">
        <v>799</v>
      </c>
      <c r="O819" s="91">
        <f t="shared" si="120"/>
        <v>0</v>
      </c>
      <c r="P819" s="38">
        <f t="shared" si="121"/>
        <v>0</v>
      </c>
      <c r="W819" s="26">
        <f t="shared" si="122"/>
        <v>0</v>
      </c>
      <c r="AA819" s="63">
        <f t="shared" si="123"/>
        <v>0</v>
      </c>
    </row>
    <row r="820" spans="12:27" hidden="1" x14ac:dyDescent="0.25">
      <c r="L820" s="2" t="str">
        <f t="shared" si="125"/>
        <v/>
      </c>
      <c r="M820" s="45">
        <f t="shared" si="124"/>
        <v>66</v>
      </c>
      <c r="N820" s="36">
        <v>800</v>
      </c>
      <c r="O820" s="91">
        <f t="shared" si="120"/>
        <v>0</v>
      </c>
      <c r="P820" s="38">
        <f t="shared" si="121"/>
        <v>0</v>
      </c>
      <c r="W820" s="26">
        <f t="shared" si="122"/>
        <v>0</v>
      </c>
      <c r="AA820" s="63">
        <f t="shared" si="123"/>
        <v>0</v>
      </c>
    </row>
    <row r="821" spans="12:27" hidden="1" x14ac:dyDescent="0.25">
      <c r="L821" s="2" t="str">
        <f t="shared" si="125"/>
        <v/>
      </c>
      <c r="M821" s="45">
        <f t="shared" si="124"/>
        <v>66</v>
      </c>
      <c r="N821" s="36">
        <v>801</v>
      </c>
      <c r="O821" s="91">
        <f t="shared" si="120"/>
        <v>0</v>
      </c>
      <c r="P821" s="38">
        <f t="shared" si="121"/>
        <v>0</v>
      </c>
      <c r="W821" s="26">
        <f t="shared" si="122"/>
        <v>0</v>
      </c>
      <c r="AA821" s="63">
        <f t="shared" si="123"/>
        <v>0</v>
      </c>
    </row>
    <row r="822" spans="12:27" hidden="1" x14ac:dyDescent="0.25">
      <c r="L822" s="2" t="str">
        <f t="shared" si="125"/>
        <v/>
      </c>
      <c r="M822" s="45">
        <f t="shared" si="124"/>
        <v>66</v>
      </c>
      <c r="N822" s="36">
        <v>802</v>
      </c>
      <c r="O822" s="91">
        <f t="shared" si="120"/>
        <v>0</v>
      </c>
      <c r="P822" s="38">
        <f t="shared" si="121"/>
        <v>0</v>
      </c>
      <c r="W822" s="26">
        <f t="shared" si="122"/>
        <v>0</v>
      </c>
      <c r="AA822" s="63">
        <f t="shared" si="123"/>
        <v>0</v>
      </c>
    </row>
    <row r="823" spans="12:27" hidden="1" x14ac:dyDescent="0.25">
      <c r="L823" s="2" t="str">
        <f t="shared" si="125"/>
        <v/>
      </c>
      <c r="M823" s="45">
        <f t="shared" si="124"/>
        <v>66</v>
      </c>
      <c r="N823" s="36">
        <v>803</v>
      </c>
      <c r="O823" s="91">
        <f t="shared" si="120"/>
        <v>0</v>
      </c>
      <c r="P823" s="38">
        <f t="shared" si="121"/>
        <v>0</v>
      </c>
      <c r="W823" s="26">
        <f t="shared" si="122"/>
        <v>0</v>
      </c>
      <c r="AA823" s="63">
        <f t="shared" si="123"/>
        <v>0</v>
      </c>
    </row>
    <row r="824" spans="12:27" hidden="1" x14ac:dyDescent="0.25">
      <c r="L824" s="2" t="str">
        <f t="shared" si="125"/>
        <v/>
      </c>
      <c r="M824" s="45">
        <f t="shared" si="124"/>
        <v>66</v>
      </c>
      <c r="N824" s="36">
        <v>804</v>
      </c>
      <c r="O824" s="91">
        <f t="shared" si="120"/>
        <v>0</v>
      </c>
      <c r="P824" s="38">
        <f t="shared" si="121"/>
        <v>0</v>
      </c>
      <c r="W824" s="26">
        <f t="shared" si="122"/>
        <v>0</v>
      </c>
      <c r="AA824" s="63">
        <f t="shared" si="123"/>
        <v>0</v>
      </c>
    </row>
    <row r="825" spans="12:27" hidden="1" x14ac:dyDescent="0.25">
      <c r="L825" s="2" t="str">
        <f t="shared" si="125"/>
        <v/>
      </c>
      <c r="M825" s="45">
        <f t="shared" si="124"/>
        <v>67</v>
      </c>
      <c r="N825" s="36">
        <v>805</v>
      </c>
      <c r="O825" s="91">
        <f t="shared" si="120"/>
        <v>0</v>
      </c>
      <c r="P825" s="38">
        <f t="shared" si="121"/>
        <v>0</v>
      </c>
      <c r="W825" s="26">
        <f t="shared" si="122"/>
        <v>0</v>
      </c>
      <c r="AA825" s="63">
        <f t="shared" si="123"/>
        <v>0</v>
      </c>
    </row>
    <row r="826" spans="12:27" hidden="1" x14ac:dyDescent="0.25">
      <c r="L826" s="2" t="str">
        <f t="shared" si="125"/>
        <v/>
      </c>
      <c r="M826" s="45">
        <f t="shared" si="124"/>
        <v>67</v>
      </c>
      <c r="N826" s="36">
        <v>806</v>
      </c>
      <c r="O826" s="91">
        <f t="shared" si="120"/>
        <v>0</v>
      </c>
      <c r="P826" s="38">
        <f t="shared" si="121"/>
        <v>0</v>
      </c>
      <c r="W826" s="26">
        <f t="shared" si="122"/>
        <v>0</v>
      </c>
      <c r="AA826" s="63">
        <f t="shared" si="123"/>
        <v>0</v>
      </c>
    </row>
    <row r="827" spans="12:27" hidden="1" x14ac:dyDescent="0.25">
      <c r="L827" s="2" t="str">
        <f t="shared" si="125"/>
        <v/>
      </c>
      <c r="M827" s="45">
        <f t="shared" si="124"/>
        <v>67</v>
      </c>
      <c r="N827" s="36">
        <v>807</v>
      </c>
      <c r="O827" s="91">
        <f t="shared" si="120"/>
        <v>0</v>
      </c>
      <c r="P827" s="38">
        <f t="shared" si="121"/>
        <v>0</v>
      </c>
      <c r="W827" s="26">
        <f t="shared" si="122"/>
        <v>0</v>
      </c>
      <c r="AA827" s="63">
        <f t="shared" si="123"/>
        <v>0</v>
      </c>
    </row>
    <row r="828" spans="12:27" hidden="1" x14ac:dyDescent="0.25">
      <c r="L828" s="2" t="str">
        <f t="shared" si="125"/>
        <v/>
      </c>
      <c r="M828" s="45">
        <f t="shared" si="124"/>
        <v>67</v>
      </c>
      <c r="N828" s="36">
        <v>808</v>
      </c>
      <c r="O828" s="91">
        <f t="shared" si="120"/>
        <v>0</v>
      </c>
      <c r="P828" s="38">
        <f t="shared" si="121"/>
        <v>0</v>
      </c>
      <c r="W828" s="26">
        <f t="shared" si="122"/>
        <v>0</v>
      </c>
      <c r="AA828" s="63">
        <f t="shared" si="123"/>
        <v>0</v>
      </c>
    </row>
    <row r="829" spans="12:27" hidden="1" x14ac:dyDescent="0.25">
      <c r="L829" s="2" t="str">
        <f t="shared" si="125"/>
        <v/>
      </c>
      <c r="M829" s="45">
        <f t="shared" si="124"/>
        <v>67</v>
      </c>
      <c r="N829" s="36">
        <v>809</v>
      </c>
      <c r="O829" s="91">
        <f t="shared" si="120"/>
        <v>0</v>
      </c>
      <c r="P829" s="38">
        <f t="shared" si="121"/>
        <v>0</v>
      </c>
      <c r="W829" s="26">
        <f t="shared" si="122"/>
        <v>0</v>
      </c>
      <c r="AA829" s="63">
        <f t="shared" si="123"/>
        <v>0</v>
      </c>
    </row>
    <row r="830" spans="12:27" hidden="1" x14ac:dyDescent="0.25">
      <c r="L830" s="2" t="str">
        <f t="shared" si="125"/>
        <v/>
      </c>
      <c r="M830" s="45">
        <f t="shared" si="124"/>
        <v>67</v>
      </c>
      <c r="N830" s="36">
        <v>810</v>
      </c>
      <c r="O830" s="91">
        <f t="shared" si="120"/>
        <v>0</v>
      </c>
      <c r="P830" s="38">
        <f t="shared" si="121"/>
        <v>0</v>
      </c>
      <c r="W830" s="26">
        <f t="shared" si="122"/>
        <v>0</v>
      </c>
      <c r="AA830" s="63">
        <f t="shared" si="123"/>
        <v>0</v>
      </c>
    </row>
    <row r="831" spans="12:27" hidden="1" x14ac:dyDescent="0.25">
      <c r="L831" s="2" t="str">
        <f t="shared" si="125"/>
        <v/>
      </c>
      <c r="M831" s="45">
        <f t="shared" si="124"/>
        <v>67</v>
      </c>
      <c r="N831" s="36">
        <v>811</v>
      </c>
      <c r="O831" s="91">
        <f t="shared" si="120"/>
        <v>0</v>
      </c>
      <c r="P831" s="38">
        <f t="shared" si="121"/>
        <v>0</v>
      </c>
      <c r="W831" s="26">
        <f t="shared" si="122"/>
        <v>0</v>
      </c>
      <c r="AA831" s="63">
        <f t="shared" si="123"/>
        <v>0</v>
      </c>
    </row>
    <row r="832" spans="12:27" hidden="1" x14ac:dyDescent="0.25">
      <c r="L832" s="2" t="str">
        <f t="shared" si="125"/>
        <v/>
      </c>
      <c r="M832" s="45">
        <f t="shared" si="124"/>
        <v>67</v>
      </c>
      <c r="N832" s="36">
        <v>812</v>
      </c>
      <c r="O832" s="91">
        <f t="shared" si="120"/>
        <v>0</v>
      </c>
      <c r="P832" s="38">
        <f t="shared" si="121"/>
        <v>0</v>
      </c>
      <c r="W832" s="26">
        <f t="shared" si="122"/>
        <v>0</v>
      </c>
      <c r="AA832" s="63">
        <f t="shared" si="123"/>
        <v>0</v>
      </c>
    </row>
    <row r="833" spans="12:27" hidden="1" x14ac:dyDescent="0.25">
      <c r="L833" s="2" t="str">
        <f t="shared" si="125"/>
        <v/>
      </c>
      <c r="M833" s="45">
        <f t="shared" si="124"/>
        <v>67</v>
      </c>
      <c r="N833" s="36">
        <v>813</v>
      </c>
      <c r="O833" s="91">
        <f t="shared" si="120"/>
        <v>0</v>
      </c>
      <c r="P833" s="38">
        <f t="shared" si="121"/>
        <v>0</v>
      </c>
      <c r="W833" s="26">
        <f t="shared" si="122"/>
        <v>0</v>
      </c>
      <c r="AA833" s="63">
        <f t="shared" si="123"/>
        <v>0</v>
      </c>
    </row>
    <row r="834" spans="12:27" hidden="1" x14ac:dyDescent="0.25">
      <c r="L834" s="2" t="str">
        <f t="shared" si="125"/>
        <v/>
      </c>
      <c r="M834" s="45">
        <f t="shared" si="124"/>
        <v>67</v>
      </c>
      <c r="N834" s="36">
        <v>814</v>
      </c>
      <c r="O834" s="91">
        <f t="shared" si="120"/>
        <v>0</v>
      </c>
      <c r="P834" s="38">
        <f t="shared" si="121"/>
        <v>0</v>
      </c>
      <c r="W834" s="26">
        <f t="shared" si="122"/>
        <v>0</v>
      </c>
      <c r="AA834" s="63">
        <f t="shared" si="123"/>
        <v>0</v>
      </c>
    </row>
    <row r="835" spans="12:27" hidden="1" x14ac:dyDescent="0.25">
      <c r="L835" s="2" t="str">
        <f t="shared" si="125"/>
        <v/>
      </c>
      <c r="M835" s="45">
        <f t="shared" si="124"/>
        <v>67</v>
      </c>
      <c r="N835" s="36">
        <v>815</v>
      </c>
      <c r="O835" s="91">
        <f t="shared" si="120"/>
        <v>0</v>
      </c>
      <c r="P835" s="38">
        <f t="shared" si="121"/>
        <v>0</v>
      </c>
      <c r="W835" s="26">
        <f t="shared" si="122"/>
        <v>0</v>
      </c>
      <c r="AA835" s="63">
        <f t="shared" si="123"/>
        <v>0</v>
      </c>
    </row>
    <row r="836" spans="12:27" hidden="1" x14ac:dyDescent="0.25">
      <c r="L836" s="2" t="str">
        <f t="shared" si="125"/>
        <v/>
      </c>
      <c r="M836" s="45">
        <f t="shared" si="124"/>
        <v>67</v>
      </c>
      <c r="N836" s="36">
        <v>816</v>
      </c>
      <c r="O836" s="91">
        <f t="shared" si="120"/>
        <v>0</v>
      </c>
      <c r="P836" s="38">
        <f t="shared" si="121"/>
        <v>0</v>
      </c>
      <c r="W836" s="26">
        <f t="shared" si="122"/>
        <v>0</v>
      </c>
      <c r="AA836" s="63">
        <f t="shared" si="123"/>
        <v>0</v>
      </c>
    </row>
    <row r="837" spans="12:27" hidden="1" x14ac:dyDescent="0.25">
      <c r="L837" s="2" t="str">
        <f t="shared" si="125"/>
        <v/>
      </c>
      <c r="M837" s="45">
        <f t="shared" si="124"/>
        <v>68</v>
      </c>
      <c r="N837" s="36">
        <v>817</v>
      </c>
      <c r="O837" s="91">
        <f t="shared" si="120"/>
        <v>0</v>
      </c>
      <c r="P837" s="38">
        <f t="shared" si="121"/>
        <v>0</v>
      </c>
      <c r="W837" s="26">
        <f t="shared" si="122"/>
        <v>0</v>
      </c>
      <c r="AA837" s="63">
        <f t="shared" si="123"/>
        <v>0</v>
      </c>
    </row>
    <row r="838" spans="12:27" hidden="1" x14ac:dyDescent="0.25">
      <c r="L838" s="2" t="str">
        <f t="shared" si="125"/>
        <v/>
      </c>
      <c r="M838" s="45">
        <f t="shared" si="124"/>
        <v>68</v>
      </c>
      <c r="N838" s="36">
        <v>818</v>
      </c>
      <c r="O838" s="91">
        <f t="shared" si="120"/>
        <v>0</v>
      </c>
      <c r="P838" s="38">
        <f t="shared" si="121"/>
        <v>0</v>
      </c>
      <c r="W838" s="26">
        <f t="shared" si="122"/>
        <v>0</v>
      </c>
      <c r="AA838" s="63">
        <f t="shared" si="123"/>
        <v>0</v>
      </c>
    </row>
    <row r="839" spans="12:27" hidden="1" x14ac:dyDescent="0.25">
      <c r="L839" s="2" t="str">
        <f t="shared" si="125"/>
        <v/>
      </c>
      <c r="M839" s="45">
        <f t="shared" si="124"/>
        <v>68</v>
      </c>
      <c r="N839" s="36">
        <v>819</v>
      </c>
      <c r="O839" s="91">
        <f t="shared" si="120"/>
        <v>0</v>
      </c>
      <c r="P839" s="38">
        <f t="shared" si="121"/>
        <v>0</v>
      </c>
      <c r="W839" s="26">
        <f t="shared" si="122"/>
        <v>0</v>
      </c>
      <c r="AA839" s="63">
        <f t="shared" si="123"/>
        <v>0</v>
      </c>
    </row>
    <row r="840" spans="12:27" hidden="1" x14ac:dyDescent="0.25">
      <c r="L840" s="2" t="str">
        <f t="shared" si="125"/>
        <v/>
      </c>
      <c r="M840" s="45">
        <f t="shared" si="124"/>
        <v>68</v>
      </c>
      <c r="N840" s="36">
        <v>820</v>
      </c>
      <c r="O840" s="91">
        <f t="shared" si="120"/>
        <v>0</v>
      </c>
      <c r="P840" s="38">
        <f t="shared" si="121"/>
        <v>0</v>
      </c>
      <c r="W840" s="26">
        <f t="shared" si="122"/>
        <v>0</v>
      </c>
      <c r="AA840" s="63">
        <f t="shared" si="123"/>
        <v>0</v>
      </c>
    </row>
    <row r="841" spans="12:27" hidden="1" x14ac:dyDescent="0.25">
      <c r="L841" s="2" t="str">
        <f t="shared" si="125"/>
        <v/>
      </c>
      <c r="M841" s="45">
        <f t="shared" si="124"/>
        <v>68</v>
      </c>
      <c r="N841" s="36">
        <v>821</v>
      </c>
      <c r="O841" s="91">
        <f t="shared" si="120"/>
        <v>0</v>
      </c>
      <c r="P841" s="38">
        <f t="shared" si="121"/>
        <v>0</v>
      </c>
      <c r="W841" s="26">
        <f t="shared" si="122"/>
        <v>0</v>
      </c>
      <c r="AA841" s="63">
        <f t="shared" si="123"/>
        <v>0</v>
      </c>
    </row>
    <row r="842" spans="12:27" hidden="1" x14ac:dyDescent="0.25">
      <c r="L842" s="2" t="str">
        <f t="shared" si="125"/>
        <v/>
      </c>
      <c r="M842" s="45">
        <f t="shared" si="124"/>
        <v>68</v>
      </c>
      <c r="N842" s="36">
        <v>822</v>
      </c>
      <c r="O842" s="91">
        <f t="shared" si="120"/>
        <v>0</v>
      </c>
      <c r="P842" s="38">
        <f t="shared" si="121"/>
        <v>0</v>
      </c>
      <c r="W842" s="26">
        <f t="shared" si="122"/>
        <v>0</v>
      </c>
      <c r="AA842" s="63">
        <f t="shared" si="123"/>
        <v>0</v>
      </c>
    </row>
    <row r="843" spans="12:27" hidden="1" x14ac:dyDescent="0.25">
      <c r="L843" s="2" t="str">
        <f t="shared" si="125"/>
        <v/>
      </c>
      <c r="M843" s="45">
        <f t="shared" si="124"/>
        <v>68</v>
      </c>
      <c r="N843" s="36">
        <v>823</v>
      </c>
      <c r="O843" s="91">
        <f t="shared" si="120"/>
        <v>0</v>
      </c>
      <c r="P843" s="38">
        <f t="shared" si="121"/>
        <v>0</v>
      </c>
      <c r="W843" s="26">
        <f t="shared" si="122"/>
        <v>0</v>
      </c>
      <c r="AA843" s="63">
        <f t="shared" si="123"/>
        <v>0</v>
      </c>
    </row>
    <row r="844" spans="12:27" hidden="1" x14ac:dyDescent="0.25">
      <c r="L844" s="2" t="str">
        <f t="shared" si="125"/>
        <v/>
      </c>
      <c r="M844" s="45">
        <f t="shared" si="124"/>
        <v>68</v>
      </c>
      <c r="N844" s="36">
        <v>824</v>
      </c>
      <c r="O844" s="91">
        <f t="shared" si="120"/>
        <v>0</v>
      </c>
      <c r="P844" s="38">
        <f t="shared" si="121"/>
        <v>0</v>
      </c>
      <c r="W844" s="26">
        <f t="shared" si="122"/>
        <v>0</v>
      </c>
      <c r="AA844" s="63">
        <f t="shared" si="123"/>
        <v>0</v>
      </c>
    </row>
    <row r="845" spans="12:27" hidden="1" x14ac:dyDescent="0.25">
      <c r="L845" s="2" t="str">
        <f t="shared" si="125"/>
        <v/>
      </c>
      <c r="M845" s="45">
        <f t="shared" si="124"/>
        <v>68</v>
      </c>
      <c r="N845" s="36">
        <v>825</v>
      </c>
      <c r="O845" s="91">
        <f t="shared" si="120"/>
        <v>0</v>
      </c>
      <c r="P845" s="38">
        <f t="shared" si="121"/>
        <v>0</v>
      </c>
      <c r="W845" s="26">
        <f t="shared" si="122"/>
        <v>0</v>
      </c>
      <c r="AA845" s="63">
        <f t="shared" si="123"/>
        <v>0</v>
      </c>
    </row>
    <row r="846" spans="12:27" hidden="1" x14ac:dyDescent="0.25">
      <c r="L846" s="2" t="str">
        <f t="shared" si="125"/>
        <v/>
      </c>
      <c r="M846" s="45">
        <f t="shared" si="124"/>
        <v>68</v>
      </c>
      <c r="N846" s="36">
        <v>826</v>
      </c>
      <c r="O846" s="91">
        <f t="shared" si="120"/>
        <v>0</v>
      </c>
      <c r="P846" s="38">
        <f t="shared" si="121"/>
        <v>0</v>
      </c>
      <c r="W846" s="26">
        <f t="shared" si="122"/>
        <v>0</v>
      </c>
      <c r="AA846" s="63">
        <f t="shared" si="123"/>
        <v>0</v>
      </c>
    </row>
    <row r="847" spans="12:27" hidden="1" x14ac:dyDescent="0.25">
      <c r="L847" s="2" t="str">
        <f t="shared" si="125"/>
        <v/>
      </c>
      <c r="M847" s="45">
        <f t="shared" si="124"/>
        <v>68</v>
      </c>
      <c r="N847" s="36">
        <v>827</v>
      </c>
      <c r="O847" s="91">
        <f t="shared" si="120"/>
        <v>0</v>
      </c>
      <c r="P847" s="38">
        <f t="shared" si="121"/>
        <v>0</v>
      </c>
      <c r="W847" s="26">
        <f t="shared" si="122"/>
        <v>0</v>
      </c>
      <c r="AA847" s="63">
        <f t="shared" si="123"/>
        <v>0</v>
      </c>
    </row>
    <row r="848" spans="12:27" hidden="1" x14ac:dyDescent="0.25">
      <c r="L848" s="2" t="str">
        <f t="shared" si="125"/>
        <v/>
      </c>
      <c r="M848" s="45">
        <f t="shared" si="124"/>
        <v>68</v>
      </c>
      <c r="N848" s="36">
        <v>828</v>
      </c>
      <c r="O848" s="91">
        <f t="shared" si="120"/>
        <v>0</v>
      </c>
      <c r="P848" s="38">
        <f t="shared" si="121"/>
        <v>0</v>
      </c>
      <c r="W848" s="26">
        <f t="shared" si="122"/>
        <v>0</v>
      </c>
      <c r="AA848" s="63">
        <f t="shared" si="123"/>
        <v>0</v>
      </c>
    </row>
    <row r="849" spans="12:27" hidden="1" x14ac:dyDescent="0.25">
      <c r="L849" s="2" t="str">
        <f t="shared" si="125"/>
        <v/>
      </c>
      <c r="M849" s="45">
        <f t="shared" si="124"/>
        <v>69</v>
      </c>
      <c r="N849" s="36">
        <v>829</v>
      </c>
      <c r="O849" s="91">
        <f t="shared" si="120"/>
        <v>0</v>
      </c>
      <c r="P849" s="38">
        <f t="shared" si="121"/>
        <v>0</v>
      </c>
      <c r="W849" s="26">
        <f t="shared" si="122"/>
        <v>0</v>
      </c>
      <c r="AA849" s="63">
        <f t="shared" si="123"/>
        <v>0</v>
      </c>
    </row>
    <row r="850" spans="12:27" hidden="1" x14ac:dyDescent="0.25">
      <c r="L850" s="2" t="str">
        <f t="shared" si="125"/>
        <v/>
      </c>
      <c r="M850" s="45">
        <f t="shared" si="124"/>
        <v>69</v>
      </c>
      <c r="N850" s="36">
        <v>830</v>
      </c>
      <c r="O850" s="91">
        <f t="shared" si="120"/>
        <v>0</v>
      </c>
      <c r="P850" s="38">
        <f t="shared" si="121"/>
        <v>0</v>
      </c>
      <c r="W850" s="26">
        <f t="shared" si="122"/>
        <v>0</v>
      </c>
      <c r="AA850" s="63">
        <f t="shared" si="123"/>
        <v>0</v>
      </c>
    </row>
    <row r="851" spans="12:27" hidden="1" x14ac:dyDescent="0.25">
      <c r="L851" s="2" t="str">
        <f t="shared" si="125"/>
        <v/>
      </c>
      <c r="M851" s="45">
        <f t="shared" si="124"/>
        <v>69</v>
      </c>
      <c r="N851" s="36">
        <v>831</v>
      </c>
      <c r="O851" s="91">
        <f t="shared" si="120"/>
        <v>0</v>
      </c>
      <c r="P851" s="38">
        <f t="shared" si="121"/>
        <v>0</v>
      </c>
      <c r="W851" s="26">
        <f t="shared" si="122"/>
        <v>0</v>
      </c>
      <c r="AA851" s="63">
        <f t="shared" si="123"/>
        <v>0</v>
      </c>
    </row>
    <row r="852" spans="12:27" hidden="1" x14ac:dyDescent="0.25">
      <c r="L852" s="2" t="str">
        <f t="shared" si="125"/>
        <v/>
      </c>
      <c r="M852" s="45">
        <f t="shared" si="124"/>
        <v>69</v>
      </c>
      <c r="N852" s="36">
        <v>832</v>
      </c>
      <c r="O852" s="91">
        <f t="shared" si="120"/>
        <v>0</v>
      </c>
      <c r="P852" s="38">
        <f t="shared" si="121"/>
        <v>0</v>
      </c>
      <c r="W852" s="26">
        <f t="shared" si="122"/>
        <v>0</v>
      </c>
      <c r="AA852" s="63">
        <f t="shared" si="123"/>
        <v>0</v>
      </c>
    </row>
    <row r="853" spans="12:27" hidden="1" x14ac:dyDescent="0.25">
      <c r="L853" s="2" t="str">
        <f t="shared" si="125"/>
        <v/>
      </c>
      <c r="M853" s="45">
        <f t="shared" si="124"/>
        <v>69</v>
      </c>
      <c r="N853" s="36">
        <v>833</v>
      </c>
      <c r="O853" s="91">
        <f t="shared" ref="O853:O916" si="126">IF(N853&lt;=InvMonths,SU_Amt*(1+GRate)^M853,0)</f>
        <v>0</v>
      </c>
      <c r="P853" s="38">
        <f t="shared" ref="P853:P916" si="127">FV(SIPRate,InvMonths-N853+1,0,-O853,1)</f>
        <v>0</v>
      </c>
      <c r="W853" s="26">
        <f t="shared" ref="W853:W920" si="128">IF(N853&lt;=InvMonths,$X$18,0)</f>
        <v>0</v>
      </c>
      <c r="AA853" s="63">
        <f t="shared" ref="AA853:AA920" si="129">IF(N853&lt;=InvMonths,$AB$18*(1+$C$32)^M853,0)</f>
        <v>0</v>
      </c>
    </row>
    <row r="854" spans="12:27" hidden="1" x14ac:dyDescent="0.25">
      <c r="L854" s="2" t="str">
        <f t="shared" si="125"/>
        <v/>
      </c>
      <c r="M854" s="45">
        <f t="shared" ref="M854:M918" si="130">IF(MOD(N854,12)=0,(N854/12)-1,QUOTIENT(N854,12))</f>
        <v>69</v>
      </c>
      <c r="N854" s="36">
        <v>834</v>
      </c>
      <c r="O854" s="91">
        <f t="shared" si="126"/>
        <v>0</v>
      </c>
      <c r="P854" s="38">
        <f t="shared" si="127"/>
        <v>0</v>
      </c>
      <c r="W854" s="26">
        <f t="shared" si="128"/>
        <v>0</v>
      </c>
      <c r="AA854" s="63">
        <f t="shared" si="129"/>
        <v>0</v>
      </c>
    </row>
    <row r="855" spans="12:27" hidden="1" x14ac:dyDescent="0.25">
      <c r="L855" s="2" t="str">
        <f t="shared" si="125"/>
        <v/>
      </c>
      <c r="M855" s="45">
        <f t="shared" si="130"/>
        <v>69</v>
      </c>
      <c r="N855" s="36">
        <v>835</v>
      </c>
      <c r="O855" s="91">
        <f t="shared" si="126"/>
        <v>0</v>
      </c>
      <c r="P855" s="38">
        <f t="shared" si="127"/>
        <v>0</v>
      </c>
      <c r="W855" s="26">
        <f t="shared" si="128"/>
        <v>0</v>
      </c>
      <c r="AA855" s="63">
        <f t="shared" si="129"/>
        <v>0</v>
      </c>
    </row>
    <row r="856" spans="12:27" hidden="1" x14ac:dyDescent="0.25">
      <c r="L856" s="2" t="str">
        <f t="shared" si="125"/>
        <v/>
      </c>
      <c r="M856" s="45">
        <f t="shared" si="130"/>
        <v>69</v>
      </c>
      <c r="N856" s="36">
        <v>836</v>
      </c>
      <c r="O856" s="91">
        <f t="shared" si="126"/>
        <v>0</v>
      </c>
      <c r="P856" s="38">
        <f t="shared" si="127"/>
        <v>0</v>
      </c>
      <c r="W856" s="26">
        <f t="shared" si="128"/>
        <v>0</v>
      </c>
      <c r="AA856" s="63">
        <f t="shared" si="129"/>
        <v>0</v>
      </c>
    </row>
    <row r="857" spans="12:27" hidden="1" x14ac:dyDescent="0.25">
      <c r="L857" s="2" t="str">
        <f t="shared" si="125"/>
        <v/>
      </c>
      <c r="M857" s="45">
        <f t="shared" si="130"/>
        <v>69</v>
      </c>
      <c r="N857" s="36">
        <v>837</v>
      </c>
      <c r="O857" s="91">
        <f t="shared" si="126"/>
        <v>0</v>
      </c>
      <c r="P857" s="38">
        <f t="shared" si="127"/>
        <v>0</v>
      </c>
      <c r="W857" s="26">
        <f t="shared" si="128"/>
        <v>0</v>
      </c>
      <c r="AA857" s="63">
        <f t="shared" si="129"/>
        <v>0</v>
      </c>
    </row>
    <row r="858" spans="12:27" hidden="1" x14ac:dyDescent="0.25">
      <c r="L858" s="2" t="str">
        <f t="shared" si="125"/>
        <v/>
      </c>
      <c r="M858" s="45">
        <f t="shared" si="130"/>
        <v>69</v>
      </c>
      <c r="N858" s="36">
        <v>838</v>
      </c>
      <c r="O858" s="91">
        <f t="shared" si="126"/>
        <v>0</v>
      </c>
      <c r="P858" s="38">
        <f t="shared" si="127"/>
        <v>0</v>
      </c>
      <c r="W858" s="26">
        <f t="shared" si="128"/>
        <v>0</v>
      </c>
      <c r="AA858" s="63">
        <f t="shared" si="129"/>
        <v>0</v>
      </c>
    </row>
    <row r="859" spans="12:27" hidden="1" x14ac:dyDescent="0.25">
      <c r="L859" s="2" t="str">
        <f t="shared" si="125"/>
        <v/>
      </c>
      <c r="M859" s="45">
        <f t="shared" si="130"/>
        <v>69</v>
      </c>
      <c r="N859" s="36">
        <v>839</v>
      </c>
      <c r="O859" s="91">
        <f t="shared" si="126"/>
        <v>0</v>
      </c>
      <c r="P859" s="38">
        <f t="shared" si="127"/>
        <v>0</v>
      </c>
      <c r="W859" s="26">
        <f t="shared" si="128"/>
        <v>0</v>
      </c>
      <c r="AA859" s="63">
        <f t="shared" si="129"/>
        <v>0</v>
      </c>
    </row>
    <row r="860" spans="12:27" hidden="1" x14ac:dyDescent="0.25">
      <c r="L860" s="2" t="str">
        <f t="shared" si="125"/>
        <v/>
      </c>
      <c r="M860" s="45">
        <f t="shared" si="130"/>
        <v>69</v>
      </c>
      <c r="N860" s="36">
        <v>840</v>
      </c>
      <c r="O860" s="91">
        <f t="shared" si="126"/>
        <v>0</v>
      </c>
      <c r="P860" s="38">
        <f t="shared" si="127"/>
        <v>0</v>
      </c>
      <c r="W860" s="26">
        <f t="shared" si="128"/>
        <v>0</v>
      </c>
      <c r="AA860" s="63">
        <f t="shared" si="129"/>
        <v>0</v>
      </c>
    </row>
    <row r="861" spans="12:27" hidden="1" x14ac:dyDescent="0.25">
      <c r="L861" s="2" t="str">
        <f t="shared" si="125"/>
        <v/>
      </c>
      <c r="M861" s="45">
        <f t="shared" si="130"/>
        <v>70</v>
      </c>
      <c r="N861" s="36">
        <v>841</v>
      </c>
      <c r="O861" s="91">
        <f t="shared" si="126"/>
        <v>0</v>
      </c>
      <c r="P861" s="38">
        <f t="shared" si="127"/>
        <v>0</v>
      </c>
      <c r="W861" s="26">
        <f t="shared" si="128"/>
        <v>0</v>
      </c>
      <c r="AA861" s="63">
        <f t="shared" si="129"/>
        <v>0</v>
      </c>
    </row>
    <row r="862" spans="12:27" hidden="1" x14ac:dyDescent="0.25">
      <c r="L862" s="2" t="str">
        <f t="shared" ref="L862:L917" si="131">IF(MOD(M862,12)=0,M862/12,"")</f>
        <v/>
      </c>
      <c r="M862" s="45">
        <f t="shared" si="130"/>
        <v>70</v>
      </c>
      <c r="N862" s="36">
        <v>842</v>
      </c>
      <c r="O862" s="91">
        <f t="shared" si="126"/>
        <v>0</v>
      </c>
      <c r="P862" s="38">
        <f t="shared" si="127"/>
        <v>0</v>
      </c>
      <c r="W862" s="26">
        <f t="shared" si="128"/>
        <v>0</v>
      </c>
      <c r="AA862" s="63">
        <f t="shared" si="129"/>
        <v>0</v>
      </c>
    </row>
    <row r="863" spans="12:27" hidden="1" x14ac:dyDescent="0.25">
      <c r="L863" s="2" t="str">
        <f t="shared" si="131"/>
        <v/>
      </c>
      <c r="M863" s="45">
        <f t="shared" si="130"/>
        <v>70</v>
      </c>
      <c r="N863" s="36">
        <v>843</v>
      </c>
      <c r="O863" s="91">
        <f t="shared" si="126"/>
        <v>0</v>
      </c>
      <c r="P863" s="38">
        <f t="shared" si="127"/>
        <v>0</v>
      </c>
      <c r="W863" s="26">
        <f t="shared" si="128"/>
        <v>0</v>
      </c>
      <c r="AA863" s="63">
        <f t="shared" si="129"/>
        <v>0</v>
      </c>
    </row>
    <row r="864" spans="12:27" hidden="1" x14ac:dyDescent="0.25">
      <c r="L864" s="2" t="str">
        <f t="shared" si="131"/>
        <v/>
      </c>
      <c r="M864" s="45">
        <f t="shared" si="130"/>
        <v>70</v>
      </c>
      <c r="N864" s="36">
        <v>844</v>
      </c>
      <c r="O864" s="91">
        <f t="shared" si="126"/>
        <v>0</v>
      </c>
      <c r="P864" s="38">
        <f t="shared" si="127"/>
        <v>0</v>
      </c>
      <c r="W864" s="26">
        <f t="shared" si="128"/>
        <v>0</v>
      </c>
      <c r="AA864" s="63">
        <f t="shared" si="129"/>
        <v>0</v>
      </c>
    </row>
    <row r="865" spans="12:27" hidden="1" x14ac:dyDescent="0.25">
      <c r="L865" s="2" t="str">
        <f t="shared" si="131"/>
        <v/>
      </c>
      <c r="M865" s="45">
        <f t="shared" si="130"/>
        <v>70</v>
      </c>
      <c r="N865" s="36">
        <v>845</v>
      </c>
      <c r="O865" s="91">
        <f t="shared" si="126"/>
        <v>0</v>
      </c>
      <c r="P865" s="38">
        <f t="shared" si="127"/>
        <v>0</v>
      </c>
      <c r="W865" s="26">
        <f t="shared" si="128"/>
        <v>0</v>
      </c>
      <c r="AA865" s="63">
        <f t="shared" si="129"/>
        <v>0</v>
      </c>
    </row>
    <row r="866" spans="12:27" hidden="1" x14ac:dyDescent="0.25">
      <c r="L866" s="2" t="str">
        <f t="shared" si="131"/>
        <v/>
      </c>
      <c r="M866" s="45">
        <f t="shared" si="130"/>
        <v>70</v>
      </c>
      <c r="N866" s="36">
        <v>846</v>
      </c>
      <c r="O866" s="91">
        <f t="shared" si="126"/>
        <v>0</v>
      </c>
      <c r="P866" s="38">
        <f t="shared" si="127"/>
        <v>0</v>
      </c>
      <c r="W866" s="26">
        <f t="shared" si="128"/>
        <v>0</v>
      </c>
      <c r="AA866" s="63">
        <f t="shared" si="129"/>
        <v>0</v>
      </c>
    </row>
    <row r="867" spans="12:27" hidden="1" x14ac:dyDescent="0.25">
      <c r="L867" s="2" t="str">
        <f t="shared" si="131"/>
        <v/>
      </c>
      <c r="M867" s="45">
        <f t="shared" si="130"/>
        <v>70</v>
      </c>
      <c r="N867" s="36">
        <v>847</v>
      </c>
      <c r="O867" s="91">
        <f t="shared" si="126"/>
        <v>0</v>
      </c>
      <c r="P867" s="38">
        <f t="shared" si="127"/>
        <v>0</v>
      </c>
      <c r="W867" s="26">
        <f t="shared" si="128"/>
        <v>0</v>
      </c>
      <c r="AA867" s="63">
        <f t="shared" si="129"/>
        <v>0</v>
      </c>
    </row>
    <row r="868" spans="12:27" hidden="1" x14ac:dyDescent="0.25">
      <c r="L868" s="2" t="str">
        <f t="shared" si="131"/>
        <v/>
      </c>
      <c r="M868" s="45">
        <f t="shared" si="130"/>
        <v>70</v>
      </c>
      <c r="N868" s="36">
        <v>848</v>
      </c>
      <c r="O868" s="91">
        <f t="shared" si="126"/>
        <v>0</v>
      </c>
      <c r="P868" s="38">
        <f t="shared" si="127"/>
        <v>0</v>
      </c>
      <c r="W868" s="26">
        <f t="shared" si="128"/>
        <v>0</v>
      </c>
      <c r="AA868" s="63">
        <f t="shared" si="129"/>
        <v>0</v>
      </c>
    </row>
    <row r="869" spans="12:27" hidden="1" x14ac:dyDescent="0.25">
      <c r="L869" s="2" t="str">
        <f t="shared" si="131"/>
        <v/>
      </c>
      <c r="M869" s="45">
        <f t="shared" si="130"/>
        <v>70</v>
      </c>
      <c r="N869" s="36">
        <v>849</v>
      </c>
      <c r="O869" s="91">
        <f t="shared" si="126"/>
        <v>0</v>
      </c>
      <c r="P869" s="38">
        <f t="shared" si="127"/>
        <v>0</v>
      </c>
      <c r="W869" s="26">
        <f t="shared" si="128"/>
        <v>0</v>
      </c>
      <c r="AA869" s="63">
        <f t="shared" si="129"/>
        <v>0</v>
      </c>
    </row>
    <row r="870" spans="12:27" hidden="1" x14ac:dyDescent="0.25">
      <c r="L870" s="2" t="str">
        <f t="shared" si="131"/>
        <v/>
      </c>
      <c r="M870" s="45">
        <f t="shared" si="130"/>
        <v>70</v>
      </c>
      <c r="N870" s="36">
        <v>850</v>
      </c>
      <c r="O870" s="91">
        <f t="shared" si="126"/>
        <v>0</v>
      </c>
      <c r="P870" s="38">
        <f t="shared" si="127"/>
        <v>0</v>
      </c>
      <c r="W870" s="26">
        <f t="shared" si="128"/>
        <v>0</v>
      </c>
      <c r="AA870" s="63">
        <f t="shared" si="129"/>
        <v>0</v>
      </c>
    </row>
    <row r="871" spans="12:27" hidden="1" x14ac:dyDescent="0.25">
      <c r="L871" s="2" t="str">
        <f t="shared" si="131"/>
        <v/>
      </c>
      <c r="M871" s="45">
        <f t="shared" si="130"/>
        <v>70</v>
      </c>
      <c r="N871" s="36">
        <v>851</v>
      </c>
      <c r="O871" s="91">
        <f t="shared" si="126"/>
        <v>0</v>
      </c>
      <c r="P871" s="38">
        <f t="shared" si="127"/>
        <v>0</v>
      </c>
      <c r="W871" s="26">
        <f t="shared" si="128"/>
        <v>0</v>
      </c>
      <c r="AA871" s="63">
        <f t="shared" si="129"/>
        <v>0</v>
      </c>
    </row>
    <row r="872" spans="12:27" hidden="1" x14ac:dyDescent="0.25">
      <c r="L872" s="2" t="str">
        <f t="shared" si="131"/>
        <v/>
      </c>
      <c r="M872" s="45">
        <f t="shared" si="130"/>
        <v>70</v>
      </c>
      <c r="N872" s="36">
        <v>852</v>
      </c>
      <c r="O872" s="91">
        <f t="shared" si="126"/>
        <v>0</v>
      </c>
      <c r="P872" s="38">
        <f t="shared" si="127"/>
        <v>0</v>
      </c>
      <c r="W872" s="26">
        <f t="shared" si="128"/>
        <v>0</v>
      </c>
      <c r="AA872" s="63">
        <f t="shared" si="129"/>
        <v>0</v>
      </c>
    </row>
    <row r="873" spans="12:27" hidden="1" x14ac:dyDescent="0.25">
      <c r="L873" s="2" t="str">
        <f t="shared" si="131"/>
        <v/>
      </c>
      <c r="M873" s="45">
        <f t="shared" si="130"/>
        <v>71</v>
      </c>
      <c r="N873" s="36">
        <v>853</v>
      </c>
      <c r="O873" s="91">
        <f t="shared" si="126"/>
        <v>0</v>
      </c>
      <c r="P873" s="38">
        <f t="shared" si="127"/>
        <v>0</v>
      </c>
      <c r="W873" s="26">
        <f t="shared" si="128"/>
        <v>0</v>
      </c>
      <c r="AA873" s="63">
        <f t="shared" si="129"/>
        <v>0</v>
      </c>
    </row>
    <row r="874" spans="12:27" hidden="1" x14ac:dyDescent="0.25">
      <c r="L874" s="2" t="str">
        <f t="shared" si="131"/>
        <v/>
      </c>
      <c r="M874" s="45">
        <f t="shared" si="130"/>
        <v>71</v>
      </c>
      <c r="N874" s="36">
        <v>854</v>
      </c>
      <c r="O874" s="91">
        <f t="shared" si="126"/>
        <v>0</v>
      </c>
      <c r="P874" s="38">
        <f t="shared" si="127"/>
        <v>0</v>
      </c>
      <c r="W874" s="26">
        <f t="shared" si="128"/>
        <v>0</v>
      </c>
      <c r="AA874" s="63">
        <f t="shared" si="129"/>
        <v>0</v>
      </c>
    </row>
    <row r="875" spans="12:27" hidden="1" x14ac:dyDescent="0.25">
      <c r="L875" s="2" t="str">
        <f t="shared" si="131"/>
        <v/>
      </c>
      <c r="M875" s="45">
        <f t="shared" si="130"/>
        <v>71</v>
      </c>
      <c r="N875" s="36">
        <v>855</v>
      </c>
      <c r="O875" s="91">
        <f t="shared" si="126"/>
        <v>0</v>
      </c>
      <c r="P875" s="38">
        <f t="shared" si="127"/>
        <v>0</v>
      </c>
      <c r="W875" s="26">
        <f t="shared" si="128"/>
        <v>0</v>
      </c>
      <c r="AA875" s="63">
        <f t="shared" si="129"/>
        <v>0</v>
      </c>
    </row>
    <row r="876" spans="12:27" hidden="1" x14ac:dyDescent="0.25">
      <c r="L876" s="2" t="str">
        <f t="shared" si="131"/>
        <v/>
      </c>
      <c r="M876" s="45">
        <f t="shared" si="130"/>
        <v>71</v>
      </c>
      <c r="N876" s="36">
        <v>856</v>
      </c>
      <c r="O876" s="91">
        <f t="shared" si="126"/>
        <v>0</v>
      </c>
      <c r="P876" s="38">
        <f t="shared" si="127"/>
        <v>0</v>
      </c>
      <c r="W876" s="26">
        <f t="shared" si="128"/>
        <v>0</v>
      </c>
      <c r="AA876" s="63">
        <f t="shared" si="129"/>
        <v>0</v>
      </c>
    </row>
    <row r="877" spans="12:27" hidden="1" x14ac:dyDescent="0.25">
      <c r="L877" s="2" t="str">
        <f t="shared" si="131"/>
        <v/>
      </c>
      <c r="M877" s="45">
        <f t="shared" si="130"/>
        <v>71</v>
      </c>
      <c r="N877" s="36">
        <v>857</v>
      </c>
      <c r="O877" s="91">
        <f t="shared" si="126"/>
        <v>0</v>
      </c>
      <c r="P877" s="38">
        <f t="shared" si="127"/>
        <v>0</v>
      </c>
      <c r="W877" s="26">
        <f t="shared" si="128"/>
        <v>0</v>
      </c>
      <c r="AA877" s="63">
        <f t="shared" si="129"/>
        <v>0</v>
      </c>
    </row>
    <row r="878" spans="12:27" hidden="1" x14ac:dyDescent="0.25">
      <c r="L878" s="2" t="str">
        <f t="shared" si="131"/>
        <v/>
      </c>
      <c r="M878" s="45">
        <f t="shared" si="130"/>
        <v>71</v>
      </c>
      <c r="N878" s="36">
        <v>858</v>
      </c>
      <c r="O878" s="91">
        <f t="shared" si="126"/>
        <v>0</v>
      </c>
      <c r="P878" s="38">
        <f t="shared" si="127"/>
        <v>0</v>
      </c>
      <c r="W878" s="26">
        <f t="shared" si="128"/>
        <v>0</v>
      </c>
      <c r="AA878" s="63">
        <f t="shared" si="129"/>
        <v>0</v>
      </c>
    </row>
    <row r="879" spans="12:27" hidden="1" x14ac:dyDescent="0.25">
      <c r="L879" s="2" t="str">
        <f t="shared" si="131"/>
        <v/>
      </c>
      <c r="M879" s="45">
        <f t="shared" si="130"/>
        <v>71</v>
      </c>
      <c r="N879" s="36">
        <v>859</v>
      </c>
      <c r="O879" s="91">
        <f t="shared" si="126"/>
        <v>0</v>
      </c>
      <c r="P879" s="38">
        <f t="shared" si="127"/>
        <v>0</v>
      </c>
      <c r="W879" s="26">
        <f t="shared" si="128"/>
        <v>0</v>
      </c>
      <c r="AA879" s="63">
        <f t="shared" si="129"/>
        <v>0</v>
      </c>
    </row>
    <row r="880" spans="12:27" hidden="1" x14ac:dyDescent="0.25">
      <c r="L880" s="2" t="str">
        <f t="shared" si="131"/>
        <v/>
      </c>
      <c r="M880" s="45">
        <f t="shared" si="130"/>
        <v>71</v>
      </c>
      <c r="N880" s="36">
        <v>860</v>
      </c>
      <c r="O880" s="91">
        <f t="shared" si="126"/>
        <v>0</v>
      </c>
      <c r="P880" s="38">
        <f t="shared" si="127"/>
        <v>0</v>
      </c>
      <c r="W880" s="26">
        <f t="shared" si="128"/>
        <v>0</v>
      </c>
      <c r="AA880" s="63">
        <f t="shared" si="129"/>
        <v>0</v>
      </c>
    </row>
    <row r="881" spans="12:27" hidden="1" x14ac:dyDescent="0.25">
      <c r="L881" s="2" t="str">
        <f t="shared" si="131"/>
        <v/>
      </c>
      <c r="M881" s="45">
        <f t="shared" si="130"/>
        <v>71</v>
      </c>
      <c r="N881" s="36">
        <v>861</v>
      </c>
      <c r="O881" s="91">
        <f t="shared" si="126"/>
        <v>0</v>
      </c>
      <c r="P881" s="38">
        <f t="shared" si="127"/>
        <v>0</v>
      </c>
      <c r="W881" s="26">
        <f t="shared" si="128"/>
        <v>0</v>
      </c>
      <c r="AA881" s="63">
        <f t="shared" si="129"/>
        <v>0</v>
      </c>
    </row>
    <row r="882" spans="12:27" hidden="1" x14ac:dyDescent="0.25">
      <c r="L882" s="2" t="str">
        <f t="shared" si="131"/>
        <v/>
      </c>
      <c r="M882" s="45">
        <f t="shared" si="130"/>
        <v>71</v>
      </c>
      <c r="N882" s="36">
        <v>862</v>
      </c>
      <c r="O882" s="91">
        <f t="shared" si="126"/>
        <v>0</v>
      </c>
      <c r="P882" s="38">
        <f t="shared" si="127"/>
        <v>0</v>
      </c>
      <c r="W882" s="26">
        <f t="shared" si="128"/>
        <v>0</v>
      </c>
      <c r="AA882" s="63">
        <f t="shared" si="129"/>
        <v>0</v>
      </c>
    </row>
    <row r="883" spans="12:27" hidden="1" x14ac:dyDescent="0.25">
      <c r="L883" s="2" t="str">
        <f t="shared" si="131"/>
        <v/>
      </c>
      <c r="M883" s="45">
        <f t="shared" si="130"/>
        <v>71</v>
      </c>
      <c r="N883" s="36">
        <v>863</v>
      </c>
      <c r="O883" s="91">
        <f t="shared" si="126"/>
        <v>0</v>
      </c>
      <c r="P883" s="38">
        <f t="shared" si="127"/>
        <v>0</v>
      </c>
      <c r="W883" s="26">
        <f t="shared" si="128"/>
        <v>0</v>
      </c>
      <c r="AA883" s="63">
        <f t="shared" si="129"/>
        <v>0</v>
      </c>
    </row>
    <row r="884" spans="12:27" hidden="1" x14ac:dyDescent="0.25">
      <c r="L884" s="2" t="str">
        <f t="shared" si="131"/>
        <v/>
      </c>
      <c r="M884" s="45">
        <f t="shared" si="130"/>
        <v>71</v>
      </c>
      <c r="N884" s="36">
        <v>864</v>
      </c>
      <c r="O884" s="91">
        <f t="shared" si="126"/>
        <v>0</v>
      </c>
      <c r="P884" s="38">
        <f t="shared" si="127"/>
        <v>0</v>
      </c>
      <c r="W884" s="26">
        <f t="shared" si="128"/>
        <v>0</v>
      </c>
      <c r="AA884" s="63">
        <f t="shared" si="129"/>
        <v>0</v>
      </c>
    </row>
    <row r="885" spans="12:27" hidden="1" x14ac:dyDescent="0.25">
      <c r="L885" s="2">
        <f t="shared" si="131"/>
        <v>6</v>
      </c>
      <c r="M885" s="45">
        <f t="shared" si="130"/>
        <v>72</v>
      </c>
      <c r="N885" s="36">
        <v>865</v>
      </c>
      <c r="O885" s="91">
        <f t="shared" si="126"/>
        <v>0</v>
      </c>
      <c r="P885" s="38">
        <f t="shared" si="127"/>
        <v>0</v>
      </c>
      <c r="W885" s="26">
        <f t="shared" si="128"/>
        <v>0</v>
      </c>
      <c r="AA885" s="63">
        <f t="shared" si="129"/>
        <v>0</v>
      </c>
    </row>
    <row r="886" spans="12:27" hidden="1" x14ac:dyDescent="0.25">
      <c r="L886" s="2">
        <f t="shared" si="131"/>
        <v>6</v>
      </c>
      <c r="M886" s="45">
        <f t="shared" si="130"/>
        <v>72</v>
      </c>
      <c r="N886" s="36">
        <v>866</v>
      </c>
      <c r="O886" s="91">
        <f t="shared" si="126"/>
        <v>0</v>
      </c>
      <c r="P886" s="38">
        <f t="shared" si="127"/>
        <v>0</v>
      </c>
      <c r="W886" s="26">
        <f t="shared" si="128"/>
        <v>0</v>
      </c>
      <c r="AA886" s="63">
        <f t="shared" si="129"/>
        <v>0</v>
      </c>
    </row>
    <row r="887" spans="12:27" hidden="1" x14ac:dyDescent="0.25">
      <c r="L887" s="2">
        <f t="shared" si="131"/>
        <v>6</v>
      </c>
      <c r="M887" s="45">
        <f t="shared" si="130"/>
        <v>72</v>
      </c>
      <c r="N887" s="36">
        <v>867</v>
      </c>
      <c r="O887" s="91">
        <f t="shared" si="126"/>
        <v>0</v>
      </c>
      <c r="P887" s="38">
        <f t="shared" si="127"/>
        <v>0</v>
      </c>
      <c r="W887" s="26">
        <f t="shared" si="128"/>
        <v>0</v>
      </c>
      <c r="AA887" s="63">
        <f t="shared" si="129"/>
        <v>0</v>
      </c>
    </row>
    <row r="888" spans="12:27" hidden="1" x14ac:dyDescent="0.25">
      <c r="L888" s="2">
        <f t="shared" si="131"/>
        <v>6</v>
      </c>
      <c r="M888" s="45">
        <f t="shared" si="130"/>
        <v>72</v>
      </c>
      <c r="N888" s="36">
        <v>868</v>
      </c>
      <c r="O888" s="91">
        <f t="shared" si="126"/>
        <v>0</v>
      </c>
      <c r="P888" s="38">
        <f t="shared" si="127"/>
        <v>0</v>
      </c>
      <c r="W888" s="26">
        <f t="shared" si="128"/>
        <v>0</v>
      </c>
      <c r="AA888" s="63">
        <f t="shared" si="129"/>
        <v>0</v>
      </c>
    </row>
    <row r="889" spans="12:27" hidden="1" x14ac:dyDescent="0.25">
      <c r="L889" s="2">
        <f t="shared" si="131"/>
        <v>6</v>
      </c>
      <c r="M889" s="45">
        <f t="shared" si="130"/>
        <v>72</v>
      </c>
      <c r="N889" s="36">
        <v>869</v>
      </c>
      <c r="O889" s="91">
        <f t="shared" si="126"/>
        <v>0</v>
      </c>
      <c r="P889" s="38">
        <f t="shared" si="127"/>
        <v>0</v>
      </c>
      <c r="W889" s="26">
        <f t="shared" si="128"/>
        <v>0</v>
      </c>
      <c r="AA889" s="63">
        <f t="shared" si="129"/>
        <v>0</v>
      </c>
    </row>
    <row r="890" spans="12:27" hidden="1" x14ac:dyDescent="0.25">
      <c r="L890" s="2">
        <f t="shared" si="131"/>
        <v>6</v>
      </c>
      <c r="M890" s="45">
        <f t="shared" si="130"/>
        <v>72</v>
      </c>
      <c r="N890" s="36">
        <v>870</v>
      </c>
      <c r="O890" s="91">
        <f t="shared" si="126"/>
        <v>0</v>
      </c>
      <c r="P890" s="38">
        <f t="shared" si="127"/>
        <v>0</v>
      </c>
      <c r="W890" s="26">
        <f t="shared" si="128"/>
        <v>0</v>
      </c>
      <c r="AA890" s="63">
        <f t="shared" si="129"/>
        <v>0</v>
      </c>
    </row>
    <row r="891" spans="12:27" hidden="1" x14ac:dyDescent="0.25">
      <c r="L891" s="2">
        <f t="shared" si="131"/>
        <v>6</v>
      </c>
      <c r="M891" s="45">
        <f t="shared" si="130"/>
        <v>72</v>
      </c>
      <c r="N891" s="36">
        <v>871</v>
      </c>
      <c r="O891" s="91">
        <f t="shared" si="126"/>
        <v>0</v>
      </c>
      <c r="P891" s="38">
        <f t="shared" si="127"/>
        <v>0</v>
      </c>
      <c r="W891" s="26">
        <f t="shared" si="128"/>
        <v>0</v>
      </c>
      <c r="AA891" s="63">
        <f t="shared" si="129"/>
        <v>0</v>
      </c>
    </row>
    <row r="892" spans="12:27" hidden="1" x14ac:dyDescent="0.25">
      <c r="L892" s="2">
        <f t="shared" si="131"/>
        <v>6</v>
      </c>
      <c r="M892" s="45">
        <f t="shared" si="130"/>
        <v>72</v>
      </c>
      <c r="N892" s="36">
        <v>872</v>
      </c>
      <c r="O892" s="91">
        <f t="shared" si="126"/>
        <v>0</v>
      </c>
      <c r="P892" s="38">
        <f t="shared" si="127"/>
        <v>0</v>
      </c>
      <c r="W892" s="26">
        <f t="shared" si="128"/>
        <v>0</v>
      </c>
      <c r="AA892" s="63">
        <f t="shared" si="129"/>
        <v>0</v>
      </c>
    </row>
    <row r="893" spans="12:27" hidden="1" x14ac:dyDescent="0.25">
      <c r="L893" s="2">
        <f t="shared" si="131"/>
        <v>6</v>
      </c>
      <c r="M893" s="45">
        <f t="shared" si="130"/>
        <v>72</v>
      </c>
      <c r="N893" s="36">
        <v>873</v>
      </c>
      <c r="O893" s="91">
        <f t="shared" si="126"/>
        <v>0</v>
      </c>
      <c r="P893" s="38">
        <f t="shared" si="127"/>
        <v>0</v>
      </c>
      <c r="W893" s="26">
        <f t="shared" si="128"/>
        <v>0</v>
      </c>
      <c r="AA893" s="63">
        <f t="shared" si="129"/>
        <v>0</v>
      </c>
    </row>
    <row r="894" spans="12:27" hidden="1" x14ac:dyDescent="0.25">
      <c r="L894" s="2">
        <f t="shared" si="131"/>
        <v>6</v>
      </c>
      <c r="M894" s="45">
        <f t="shared" si="130"/>
        <v>72</v>
      </c>
      <c r="N894" s="36">
        <v>874</v>
      </c>
      <c r="O894" s="91">
        <f t="shared" si="126"/>
        <v>0</v>
      </c>
      <c r="P894" s="38">
        <f t="shared" si="127"/>
        <v>0</v>
      </c>
      <c r="W894" s="26">
        <f t="shared" si="128"/>
        <v>0</v>
      </c>
      <c r="AA894" s="63">
        <f t="shared" si="129"/>
        <v>0</v>
      </c>
    </row>
    <row r="895" spans="12:27" hidden="1" x14ac:dyDescent="0.25">
      <c r="L895" s="2">
        <f t="shared" si="131"/>
        <v>6</v>
      </c>
      <c r="M895" s="45">
        <f t="shared" si="130"/>
        <v>72</v>
      </c>
      <c r="N895" s="36">
        <v>875</v>
      </c>
      <c r="O895" s="91">
        <f t="shared" si="126"/>
        <v>0</v>
      </c>
      <c r="P895" s="38">
        <f t="shared" si="127"/>
        <v>0</v>
      </c>
      <c r="W895" s="26">
        <f t="shared" si="128"/>
        <v>0</v>
      </c>
      <c r="AA895" s="63">
        <f t="shared" si="129"/>
        <v>0</v>
      </c>
    </row>
    <row r="896" spans="12:27" hidden="1" x14ac:dyDescent="0.25">
      <c r="L896" s="2">
        <f t="shared" si="131"/>
        <v>6</v>
      </c>
      <c r="M896" s="45">
        <f t="shared" si="130"/>
        <v>72</v>
      </c>
      <c r="N896" s="36">
        <v>876</v>
      </c>
      <c r="O896" s="91">
        <f t="shared" si="126"/>
        <v>0</v>
      </c>
      <c r="P896" s="38">
        <f t="shared" si="127"/>
        <v>0</v>
      </c>
      <c r="W896" s="26">
        <f t="shared" si="128"/>
        <v>0</v>
      </c>
      <c r="AA896" s="63">
        <f t="shared" si="129"/>
        <v>0</v>
      </c>
    </row>
    <row r="897" spans="12:27" hidden="1" x14ac:dyDescent="0.25">
      <c r="L897" s="2" t="str">
        <f t="shared" si="131"/>
        <v/>
      </c>
      <c r="M897" s="45">
        <f t="shared" si="130"/>
        <v>73</v>
      </c>
      <c r="N897" s="36">
        <v>877</v>
      </c>
      <c r="O897" s="91">
        <f t="shared" si="126"/>
        <v>0</v>
      </c>
      <c r="P897" s="38">
        <f t="shared" si="127"/>
        <v>0</v>
      </c>
      <c r="W897" s="26">
        <f t="shared" si="128"/>
        <v>0</v>
      </c>
      <c r="AA897" s="63">
        <f t="shared" si="129"/>
        <v>0</v>
      </c>
    </row>
    <row r="898" spans="12:27" hidden="1" x14ac:dyDescent="0.25">
      <c r="L898" s="2" t="str">
        <f t="shared" si="131"/>
        <v/>
      </c>
      <c r="M898" s="45">
        <f t="shared" si="130"/>
        <v>73</v>
      </c>
      <c r="N898" s="36">
        <v>878</v>
      </c>
      <c r="O898" s="91">
        <f t="shared" si="126"/>
        <v>0</v>
      </c>
      <c r="P898" s="38">
        <f t="shared" si="127"/>
        <v>0</v>
      </c>
      <c r="W898" s="26">
        <f t="shared" si="128"/>
        <v>0</v>
      </c>
      <c r="AA898" s="63">
        <f t="shared" si="129"/>
        <v>0</v>
      </c>
    </row>
    <row r="899" spans="12:27" hidden="1" x14ac:dyDescent="0.25">
      <c r="L899" s="2" t="str">
        <f t="shared" si="131"/>
        <v/>
      </c>
      <c r="M899" s="45">
        <f t="shared" si="130"/>
        <v>73</v>
      </c>
      <c r="N899" s="36">
        <v>879</v>
      </c>
      <c r="O899" s="91">
        <f t="shared" si="126"/>
        <v>0</v>
      </c>
      <c r="P899" s="38">
        <f t="shared" si="127"/>
        <v>0</v>
      </c>
      <c r="W899" s="26">
        <f t="shared" si="128"/>
        <v>0</v>
      </c>
      <c r="AA899" s="63">
        <f t="shared" si="129"/>
        <v>0</v>
      </c>
    </row>
    <row r="900" spans="12:27" hidden="1" x14ac:dyDescent="0.25">
      <c r="L900" s="2" t="str">
        <f t="shared" si="131"/>
        <v/>
      </c>
      <c r="M900" s="45">
        <f t="shared" si="130"/>
        <v>73</v>
      </c>
      <c r="N900" s="36">
        <v>880</v>
      </c>
      <c r="O900" s="91">
        <f t="shared" si="126"/>
        <v>0</v>
      </c>
      <c r="P900" s="38">
        <f t="shared" si="127"/>
        <v>0</v>
      </c>
      <c r="W900" s="26">
        <f t="shared" si="128"/>
        <v>0</v>
      </c>
      <c r="AA900" s="63">
        <f t="shared" si="129"/>
        <v>0</v>
      </c>
    </row>
    <row r="901" spans="12:27" hidden="1" x14ac:dyDescent="0.25">
      <c r="L901" s="2" t="str">
        <f t="shared" si="131"/>
        <v/>
      </c>
      <c r="M901" s="45">
        <f t="shared" si="130"/>
        <v>73</v>
      </c>
      <c r="N901" s="36">
        <v>881</v>
      </c>
      <c r="O901" s="91">
        <f t="shared" si="126"/>
        <v>0</v>
      </c>
      <c r="P901" s="38">
        <f t="shared" si="127"/>
        <v>0</v>
      </c>
      <c r="W901" s="26">
        <f t="shared" si="128"/>
        <v>0</v>
      </c>
      <c r="AA901" s="63">
        <f t="shared" si="129"/>
        <v>0</v>
      </c>
    </row>
    <row r="902" spans="12:27" hidden="1" x14ac:dyDescent="0.25">
      <c r="L902" s="2" t="str">
        <f t="shared" si="131"/>
        <v/>
      </c>
      <c r="M902" s="45">
        <f t="shared" si="130"/>
        <v>73</v>
      </c>
      <c r="N902" s="36">
        <v>882</v>
      </c>
      <c r="O902" s="91">
        <f t="shared" si="126"/>
        <v>0</v>
      </c>
      <c r="P902" s="38">
        <f t="shared" si="127"/>
        <v>0</v>
      </c>
      <c r="W902" s="26">
        <f t="shared" si="128"/>
        <v>0</v>
      </c>
      <c r="AA902" s="63">
        <f t="shared" si="129"/>
        <v>0</v>
      </c>
    </row>
    <row r="903" spans="12:27" hidden="1" x14ac:dyDescent="0.25">
      <c r="L903" s="2" t="str">
        <f t="shared" si="131"/>
        <v/>
      </c>
      <c r="M903" s="45">
        <f t="shared" si="130"/>
        <v>73</v>
      </c>
      <c r="N903" s="36">
        <v>883</v>
      </c>
      <c r="O903" s="91">
        <f t="shared" si="126"/>
        <v>0</v>
      </c>
      <c r="P903" s="38">
        <f t="shared" si="127"/>
        <v>0</v>
      </c>
      <c r="W903" s="26">
        <f t="shared" si="128"/>
        <v>0</v>
      </c>
      <c r="AA903" s="63">
        <f t="shared" si="129"/>
        <v>0</v>
      </c>
    </row>
    <row r="904" spans="12:27" hidden="1" x14ac:dyDescent="0.25">
      <c r="L904" s="2" t="str">
        <f t="shared" si="131"/>
        <v/>
      </c>
      <c r="M904" s="45">
        <f t="shared" si="130"/>
        <v>73</v>
      </c>
      <c r="N904" s="36">
        <v>884</v>
      </c>
      <c r="O904" s="91">
        <f t="shared" si="126"/>
        <v>0</v>
      </c>
      <c r="P904" s="38">
        <f t="shared" si="127"/>
        <v>0</v>
      </c>
      <c r="W904" s="26">
        <f t="shared" si="128"/>
        <v>0</v>
      </c>
      <c r="AA904" s="63">
        <f t="shared" si="129"/>
        <v>0</v>
      </c>
    </row>
    <row r="905" spans="12:27" hidden="1" x14ac:dyDescent="0.25">
      <c r="L905" s="2" t="str">
        <f t="shared" si="131"/>
        <v/>
      </c>
      <c r="M905" s="45">
        <f t="shared" si="130"/>
        <v>73</v>
      </c>
      <c r="N905" s="36">
        <v>885</v>
      </c>
      <c r="O905" s="91">
        <f t="shared" si="126"/>
        <v>0</v>
      </c>
      <c r="P905" s="38">
        <f t="shared" si="127"/>
        <v>0</v>
      </c>
      <c r="W905" s="26">
        <f t="shared" si="128"/>
        <v>0</v>
      </c>
      <c r="AA905" s="63">
        <f t="shared" si="129"/>
        <v>0</v>
      </c>
    </row>
    <row r="906" spans="12:27" hidden="1" x14ac:dyDescent="0.25">
      <c r="L906" s="2" t="str">
        <f t="shared" si="131"/>
        <v/>
      </c>
      <c r="M906" s="45">
        <f t="shared" si="130"/>
        <v>73</v>
      </c>
      <c r="N906" s="36">
        <v>886</v>
      </c>
      <c r="O906" s="91">
        <f t="shared" si="126"/>
        <v>0</v>
      </c>
      <c r="P906" s="38">
        <f t="shared" si="127"/>
        <v>0</v>
      </c>
      <c r="W906" s="26">
        <f t="shared" si="128"/>
        <v>0</v>
      </c>
      <c r="AA906" s="63">
        <f t="shared" si="129"/>
        <v>0</v>
      </c>
    </row>
    <row r="907" spans="12:27" hidden="1" x14ac:dyDescent="0.25">
      <c r="L907" s="2" t="str">
        <f t="shared" si="131"/>
        <v/>
      </c>
      <c r="M907" s="45">
        <f t="shared" si="130"/>
        <v>73</v>
      </c>
      <c r="N907" s="36">
        <v>887</v>
      </c>
      <c r="O907" s="91">
        <f t="shared" si="126"/>
        <v>0</v>
      </c>
      <c r="P907" s="38">
        <f t="shared" si="127"/>
        <v>0</v>
      </c>
      <c r="W907" s="26">
        <f t="shared" si="128"/>
        <v>0</v>
      </c>
      <c r="AA907" s="63">
        <f t="shared" si="129"/>
        <v>0</v>
      </c>
    </row>
    <row r="908" spans="12:27" hidden="1" x14ac:dyDescent="0.25">
      <c r="L908" s="2" t="str">
        <f t="shared" si="131"/>
        <v/>
      </c>
      <c r="M908" s="45">
        <f t="shared" si="130"/>
        <v>73</v>
      </c>
      <c r="N908" s="36">
        <v>888</v>
      </c>
      <c r="O908" s="91">
        <f t="shared" si="126"/>
        <v>0</v>
      </c>
      <c r="P908" s="38">
        <f t="shared" si="127"/>
        <v>0</v>
      </c>
      <c r="W908" s="26">
        <f t="shared" si="128"/>
        <v>0</v>
      </c>
      <c r="AA908" s="63">
        <f t="shared" si="129"/>
        <v>0</v>
      </c>
    </row>
    <row r="909" spans="12:27" hidden="1" x14ac:dyDescent="0.25">
      <c r="L909" s="2" t="str">
        <f t="shared" si="131"/>
        <v/>
      </c>
      <c r="M909" s="45">
        <f t="shared" si="130"/>
        <v>74</v>
      </c>
      <c r="N909" s="36">
        <v>889</v>
      </c>
      <c r="O909" s="91">
        <f t="shared" si="126"/>
        <v>0</v>
      </c>
      <c r="P909" s="38">
        <f t="shared" si="127"/>
        <v>0</v>
      </c>
      <c r="W909" s="26">
        <f t="shared" si="128"/>
        <v>0</v>
      </c>
      <c r="AA909" s="63">
        <f t="shared" si="129"/>
        <v>0</v>
      </c>
    </row>
    <row r="910" spans="12:27" hidden="1" x14ac:dyDescent="0.25">
      <c r="L910" s="2" t="str">
        <f t="shared" si="131"/>
        <v/>
      </c>
      <c r="M910" s="45">
        <f t="shared" si="130"/>
        <v>74</v>
      </c>
      <c r="N910" s="36">
        <v>890</v>
      </c>
      <c r="O910" s="91">
        <f t="shared" si="126"/>
        <v>0</v>
      </c>
      <c r="P910" s="38">
        <f t="shared" si="127"/>
        <v>0</v>
      </c>
      <c r="W910" s="26">
        <f t="shared" si="128"/>
        <v>0</v>
      </c>
      <c r="AA910" s="63">
        <f t="shared" si="129"/>
        <v>0</v>
      </c>
    </row>
    <row r="911" spans="12:27" hidden="1" x14ac:dyDescent="0.25">
      <c r="L911" s="2" t="str">
        <f t="shared" si="131"/>
        <v/>
      </c>
      <c r="M911" s="45">
        <f t="shared" si="130"/>
        <v>74</v>
      </c>
      <c r="N911" s="36">
        <v>891</v>
      </c>
      <c r="O911" s="91">
        <f t="shared" si="126"/>
        <v>0</v>
      </c>
      <c r="P911" s="38">
        <f t="shared" si="127"/>
        <v>0</v>
      </c>
      <c r="W911" s="26">
        <f t="shared" si="128"/>
        <v>0</v>
      </c>
      <c r="AA911" s="63">
        <f t="shared" si="129"/>
        <v>0</v>
      </c>
    </row>
    <row r="912" spans="12:27" hidden="1" x14ac:dyDescent="0.25">
      <c r="L912" s="2" t="str">
        <f t="shared" si="131"/>
        <v/>
      </c>
      <c r="M912" s="45">
        <f t="shared" si="130"/>
        <v>74</v>
      </c>
      <c r="N912" s="36">
        <v>892</v>
      </c>
      <c r="O912" s="91">
        <f t="shared" si="126"/>
        <v>0</v>
      </c>
      <c r="P912" s="38">
        <f t="shared" si="127"/>
        <v>0</v>
      </c>
      <c r="W912" s="26">
        <f t="shared" si="128"/>
        <v>0</v>
      </c>
      <c r="AA912" s="63">
        <f t="shared" si="129"/>
        <v>0</v>
      </c>
    </row>
    <row r="913" spans="12:27" hidden="1" x14ac:dyDescent="0.25">
      <c r="L913" s="2" t="str">
        <f t="shared" si="131"/>
        <v/>
      </c>
      <c r="M913" s="45">
        <f t="shared" si="130"/>
        <v>74</v>
      </c>
      <c r="N913" s="36">
        <v>893</v>
      </c>
      <c r="O913" s="91">
        <f t="shared" si="126"/>
        <v>0</v>
      </c>
      <c r="P913" s="38">
        <f t="shared" si="127"/>
        <v>0</v>
      </c>
      <c r="W913" s="26">
        <f t="shared" si="128"/>
        <v>0</v>
      </c>
      <c r="AA913" s="63">
        <f t="shared" si="129"/>
        <v>0</v>
      </c>
    </row>
    <row r="914" spans="12:27" hidden="1" x14ac:dyDescent="0.25">
      <c r="L914" s="2" t="str">
        <f t="shared" si="131"/>
        <v/>
      </c>
      <c r="M914" s="45">
        <f t="shared" si="130"/>
        <v>74</v>
      </c>
      <c r="N914" s="36">
        <v>894</v>
      </c>
      <c r="O914" s="91">
        <f t="shared" si="126"/>
        <v>0</v>
      </c>
      <c r="P914" s="38">
        <f t="shared" si="127"/>
        <v>0</v>
      </c>
      <c r="W914" s="26">
        <f t="shared" si="128"/>
        <v>0</v>
      </c>
      <c r="AA914" s="63">
        <f t="shared" si="129"/>
        <v>0</v>
      </c>
    </row>
    <row r="915" spans="12:27" hidden="1" x14ac:dyDescent="0.25">
      <c r="L915" s="2" t="str">
        <f t="shared" si="131"/>
        <v/>
      </c>
      <c r="M915" s="45">
        <f t="shared" si="130"/>
        <v>74</v>
      </c>
      <c r="N915" s="36">
        <v>895</v>
      </c>
      <c r="O915" s="91">
        <f t="shared" si="126"/>
        <v>0</v>
      </c>
      <c r="P915" s="38">
        <f t="shared" si="127"/>
        <v>0</v>
      </c>
      <c r="W915" s="26">
        <f t="shared" si="128"/>
        <v>0</v>
      </c>
      <c r="AA915" s="63">
        <f t="shared" si="129"/>
        <v>0</v>
      </c>
    </row>
    <row r="916" spans="12:27" hidden="1" x14ac:dyDescent="0.25">
      <c r="L916" s="2" t="str">
        <f t="shared" si="131"/>
        <v/>
      </c>
      <c r="M916" s="45">
        <f t="shared" si="130"/>
        <v>74</v>
      </c>
      <c r="N916" s="36">
        <v>896</v>
      </c>
      <c r="O916" s="91">
        <f t="shared" si="126"/>
        <v>0</v>
      </c>
      <c r="P916" s="38">
        <f t="shared" si="127"/>
        <v>0</v>
      </c>
      <c r="W916" s="26">
        <f t="shared" si="128"/>
        <v>0</v>
      </c>
      <c r="AA916" s="63">
        <f t="shared" si="129"/>
        <v>0</v>
      </c>
    </row>
    <row r="917" spans="12:27" hidden="1" x14ac:dyDescent="0.25">
      <c r="L917" s="2" t="str">
        <f t="shared" si="131"/>
        <v/>
      </c>
      <c r="M917" s="45">
        <f t="shared" si="130"/>
        <v>74</v>
      </c>
      <c r="N917" s="36">
        <v>897</v>
      </c>
      <c r="O917" s="91">
        <f t="shared" ref="O917:O920" si="132">IF(N917&lt;=InvMonths,SU_Amt*(1+GRate)^M917,0)</f>
        <v>0</v>
      </c>
      <c r="P917" s="38">
        <f t="shared" ref="P917:P920" si="133">FV(SIPRate,InvMonths-N917+1,0,-O917,1)</f>
        <v>0</v>
      </c>
      <c r="W917" s="26">
        <f t="shared" si="128"/>
        <v>0</v>
      </c>
      <c r="AA917" s="63">
        <f t="shared" si="129"/>
        <v>0</v>
      </c>
    </row>
    <row r="918" spans="12:27" hidden="1" x14ac:dyDescent="0.25">
      <c r="M918" s="45">
        <f t="shared" si="130"/>
        <v>74</v>
      </c>
      <c r="N918" s="36">
        <v>898</v>
      </c>
      <c r="O918" s="91">
        <f t="shared" si="132"/>
        <v>0</v>
      </c>
      <c r="P918" s="38">
        <f t="shared" si="133"/>
        <v>0</v>
      </c>
      <c r="W918" s="26">
        <f t="shared" si="128"/>
        <v>0</v>
      </c>
      <c r="AA918" s="63">
        <f t="shared" si="129"/>
        <v>0</v>
      </c>
    </row>
    <row r="919" spans="12:27" hidden="1" x14ac:dyDescent="0.25">
      <c r="M919" s="45">
        <f t="shared" ref="M919:M920" si="134">IF(MOD(N919,12)=0,(N919/12)-1,QUOTIENT(N919,12))</f>
        <v>74</v>
      </c>
      <c r="N919" s="36">
        <v>899</v>
      </c>
      <c r="O919" s="91">
        <f t="shared" si="132"/>
        <v>0</v>
      </c>
      <c r="P919" s="38">
        <f t="shared" si="133"/>
        <v>0</v>
      </c>
      <c r="W919" s="26">
        <f t="shared" si="128"/>
        <v>0</v>
      </c>
      <c r="AA919" s="63">
        <f t="shared" si="129"/>
        <v>0</v>
      </c>
    </row>
    <row r="920" spans="12:27" hidden="1" x14ac:dyDescent="0.25">
      <c r="M920" s="45">
        <f t="shared" si="134"/>
        <v>74</v>
      </c>
      <c r="N920" s="36">
        <v>900</v>
      </c>
      <c r="O920" s="91">
        <f t="shared" si="132"/>
        <v>0</v>
      </c>
      <c r="P920" s="38">
        <f t="shared" si="133"/>
        <v>0</v>
      </c>
      <c r="W920" s="26">
        <f t="shared" si="128"/>
        <v>0</v>
      </c>
      <c r="AA920" s="63">
        <f t="shared" si="129"/>
        <v>0</v>
      </c>
    </row>
  </sheetData>
  <sheetProtection selectLockedCells="1"/>
  <mergeCells count="4">
    <mergeCell ref="R22:S22"/>
    <mergeCell ref="R29:S29"/>
    <mergeCell ref="C17:D17"/>
    <mergeCell ref="B1:E1"/>
  </mergeCells>
  <conditionalFormatting sqref="D20:E20">
    <cfRule type="cellIs" dxfId="2" priority="3" operator="equal">
      <formula>"Excess"</formula>
    </cfRule>
  </conditionalFormatting>
  <conditionalFormatting sqref="D5">
    <cfRule type="cellIs" dxfId="1" priority="2" operator="equal">
      <formula>"Error"</formula>
    </cfRule>
  </conditionalFormatting>
  <conditionalFormatting sqref="R1">
    <cfRule type="cellIs" dxfId="0" priority="1" operator="equal">
      <formula>"Error"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02" r:id="rId4" name="btnPrint">
          <controlPr defaultSize="0" print="0" autoLine="0" r:id="rId5">
            <anchor>
              <from>
                <xdr:col>4</xdr:col>
                <xdr:colOff>220980</xdr:colOff>
                <xdr:row>3</xdr:row>
                <xdr:rowOff>53340</xdr:rowOff>
              </from>
              <to>
                <xdr:col>4</xdr:col>
                <xdr:colOff>502920</xdr:colOff>
                <xdr:row>4</xdr:row>
                <xdr:rowOff>160020</xdr:rowOff>
              </to>
            </anchor>
          </controlPr>
        </control>
      </mc:Choice>
      <mc:Fallback>
        <control shapeId="15302" r:id="rId4" name="btnPri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Goal Options</vt:lpstr>
      <vt:lpstr>CapGainTax</vt:lpstr>
      <vt:lpstr>'Goal Options'!GoalAmt</vt:lpstr>
      <vt:lpstr>'Goal Options'!GoalYears</vt:lpstr>
      <vt:lpstr>'Goal Options'!GRate</vt:lpstr>
      <vt:lpstr>InvMonths</vt:lpstr>
      <vt:lpstr>InvRate</vt:lpstr>
      <vt:lpstr>'Goal Options'!SIPAmount</vt:lpstr>
      <vt:lpstr>SIPRate</vt:lpstr>
      <vt:lpstr>SU_Amt</vt:lpstr>
    </vt:vector>
  </TitlesOfParts>
  <Company>Jain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FinOptic Goal with Current Investments</dc:title>
  <dc:creator>Reddi, Sasmith</dc:creator>
  <dc:description>COPYRIGHT PROTECTED - FinOptic Financial Services, Hyderabad, India</dc:description>
  <cp:lastModifiedBy>Sasmith Reddi</cp:lastModifiedBy>
  <cp:lastPrinted>2025-07-06T06:24:52Z</cp:lastPrinted>
  <dcterms:created xsi:type="dcterms:W3CDTF">1996-10-14T23:33:28Z</dcterms:created>
  <dcterms:modified xsi:type="dcterms:W3CDTF">2026-08-10T04:59:21Z</dcterms:modified>
  <cp:contentStatus>Jul 4 2017</cp:contentStatus>
</cp:coreProperties>
</file>